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假设" sheetId="2" state="visible" r:id="rId4"/>
    <sheet name="推演" sheetId="3" state="visible" r:id="rId5"/>
    <sheet name="情景对比" sheetId="4" state="visible" r:id="rId6"/>
    <sheet name="敏感性" sheetId="5" state="visible" r:id="rId7"/>
    <sheet name="QQQ" sheetId="6" state="visible" r:id="rId8"/>
    <sheet name="季度跟踪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<sst xmlns="http://schemas.openxmlformats.org/spreadsheetml/2006/main" count="246" uniqueCount="201">
  <si>
    <t xml:space="preserve">大厂裁员与 QQQ 模型  |  Big Tech Layoff Model</t>
  </si>
  <si>
    <t xml:space="preserve">用途</t>
  </si>
  <si>
    <t xml:space="preserve">本工作簿配合《大厂裁员与QQQ_深度研究_2026Q4.docx》使用，用于复算与情景调整。</t>
  </si>
  <si>
    <t xml:space="preserve">基线</t>
  </si>
  <si>
    <t xml:space="preserve">八家公司（MSFT、GOOGL、AMZN、META、AAPL、NVDA、AVGO、TSLA）日历化 FY2026E 合并口径，美元十亿。</t>
  </si>
  <si>
    <t xml:space="preserve">工作表</t>
  </si>
  <si>
    <t xml:space="preserve">假设：可调参数；推演：单情景五年公式模型；情景对比：不裁员/10%/20% 三情景结果；敏感性：EPS 增速矩阵；QQQ：指数情景与概率加权。</t>
  </si>
  <si>
    <t xml:space="preserve">使用方法</t>
  </si>
  <si>
    <t xml:space="preserve">修改“假设”页蓝字单元格和“推演”页的增速/资本开支，表格会自动重算。情景对比与敏感性为模型输出值，不随假设联动。</t>
  </si>
  <si>
    <t xml:space="preserve">口径提醒</t>
  </si>
  <si>
    <t xml:space="preserve">人力成本为全成本估算（含股权激励）；亚马逊仅计入企业岗位；折旧按 8 年混合年限简化。</t>
  </si>
  <si>
    <t xml:space="preserve">重要提示</t>
  </si>
  <si>
    <t xml:space="preserve">所有情景均为假设推演，不构成投资建议。</t>
  </si>
  <si>
    <t xml:space="preserve">核心假设</t>
  </si>
  <si>
    <t xml:space="preserve">蓝字单元格可修改；修改后“推演”页自动重算。</t>
  </si>
  <si>
    <t xml:space="preserve">参数</t>
  </si>
  <si>
    <t xml:space="preserve">取值</t>
  </si>
  <si>
    <t xml:space="preserve">单位</t>
  </si>
  <si>
    <t xml:space="preserve">说明</t>
  </si>
  <si>
    <t xml:space="preserve">每年裁员比例</t>
  </si>
  <si>
    <t xml:space="preserve">%</t>
  </si>
  <si>
    <t xml:space="preserve">作用于企业/专业岗位，每年复利</t>
  </si>
  <si>
    <t xml:space="preserve">人均薪酬增速</t>
  </si>
  <si>
    <t xml:space="preserve">含股权激励，反映 AI 人才溢价</t>
  </si>
  <si>
    <t xml:space="preserve">AI 替代成本率</t>
  </si>
  <si>
    <t xml:space="preserve">被裁员工薪酬中用于推理/工具的比例</t>
  </si>
  <si>
    <t xml:space="preserve">留存员工 token 预算</t>
  </si>
  <si>
    <t xml:space="preserve">占人力成本</t>
  </si>
  <si>
    <t xml:space="preserve">其他费用收入弹性</t>
  </si>
  <si>
    <t xml:space="preserve">指数</t>
  </si>
  <si>
    <t xml:space="preserve">其他费用 = 基期 × (收入/基期收入)^弹性</t>
  </si>
  <si>
    <t xml:space="preserve">折旧年限</t>
  </si>
  <si>
    <t xml:space="preserve">年</t>
  </si>
  <si>
    <t xml:space="preserve">服务器 5-6 年、建筑 15-20 年的混合</t>
  </si>
  <si>
    <t xml:space="preserve">实际税率</t>
  </si>
  <si>
    <t xml:space="preserve">—</t>
  </si>
  <si>
    <t xml:space="preserve">股权激励</t>
  </si>
  <si>
    <t xml:space="preserve">% 收入</t>
  </si>
  <si>
    <t xml:space="preserve">加回 FCF</t>
  </si>
  <si>
    <t xml:space="preserve">营运资金变动</t>
  </si>
  <si>
    <t xml:space="preserve">% 收入增量</t>
  </si>
  <si>
    <t xml:space="preserve">回购比例</t>
  </si>
  <si>
    <t xml:space="preserve">% FCF</t>
  </si>
  <si>
    <t xml:space="preserve">上限为净利润的 90%</t>
  </si>
  <si>
    <t xml:space="preserve">回购估值倍数</t>
  </si>
  <si>
    <t xml:space="preserve">x EPS</t>
  </si>
  <si>
    <t xml:space="preserve">用于把回购金额换算成股数</t>
  </si>
  <si>
    <t xml:space="preserve">基期收入</t>
  </si>
  <si>
    <t xml:space="preserve">十亿美元</t>
  </si>
  <si>
    <t xml:space="preserve">2026E 八家合计</t>
  </si>
  <si>
    <t xml:space="preserve">基期人力成本</t>
  </si>
  <si>
    <t xml:space="preserve">基期其他费用</t>
  </si>
  <si>
    <t xml:space="preserve">收入 - 人力 - 折旧 - EBIT</t>
  </si>
  <si>
    <t xml:space="preserve">基期折旧</t>
  </si>
  <si>
    <t xml:space="preserve">基期资本开支</t>
  </si>
  <si>
    <t xml:space="preserve">基期员工数</t>
  </si>
  <si>
    <t xml:space="preserve">千人</t>
  </si>
  <si>
    <t xml:space="preserve">企业/专业岗位</t>
  </si>
  <si>
    <t xml:space="preserve">基期净利润</t>
  </si>
  <si>
    <t xml:space="preserve">EBIT × (1-税率)</t>
  </si>
  <si>
    <t xml:space="preserve">基期股本</t>
  </si>
  <si>
    <t xml:space="preserve">十亿股</t>
  </si>
  <si>
    <t xml:space="preserve">八家合计</t>
  </si>
  <si>
    <t xml:space="preserve">基期 EPS</t>
  </si>
  <si>
    <t xml:space="preserve">美元</t>
  </si>
  <si>
    <t xml:space="preserve">净利润/股本</t>
  </si>
  <si>
    <t xml:space="preserve">收入拖累系数</t>
  </si>
  <si>
    <t xml:space="preserve">百分点/10%裁员</t>
  </si>
  <si>
    <t xml:space="preserve">每裁 10%，收入增速下降 0.5 个百分点</t>
  </si>
  <si>
    <t xml:space="preserve">单情景五年推演（公式联动）</t>
  </si>
  <si>
    <t xml:space="preserve">修改 C5:G5 的收入增速和 C14:G14 的资本开支，整张表自动重算。</t>
  </si>
  <si>
    <t xml:space="preserve">项目（十亿美元）</t>
  </si>
  <si>
    <t xml:space="preserve">2026A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</si>
  <si>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</si>
  <si>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</si>
  <si>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</si>
  <si>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</si>
  <si>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</si>
  <si>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收入增速（假设）</t>
  </si>
  <si>
    <t xml:space="preserve">收入</t>
  </si>
  <si>
    <t xml:space="preserve">员工数（千人）</t>
  </si>
  <si>
    <t xml:space="preserve">人均薪酬（百万美元）</t>
  </si>
  <si>
    <t xml:space="preserve">人力成本</t>
  </si>
  <si>
    <t xml:space="preserve">相对基准累计减员（千人）</t>
  </si>
  <si>
    <t xml:space="preserve">AI 推理/工具成本</t>
  </si>
  <si>
    <t xml:space="preserve">其他费用</t>
  </si>
  <si>
    <t xml:space="preserve">折旧</t>
  </si>
  <si>
    <t xml:space="preserve">资本开支（假设）</t>
  </si>
  <si>
    <t xml:space="preserve">经营利润 EBIT</t>
  </si>
  <si>
    <t xml:space="preserve">EBIT 利润率</t>
  </si>
  <si>
    <t xml:space="preserve">净利润</t>
  </si>
  <si>
    <t xml:space="preserve">股本（十亿股）</t>
  </si>
  <si>
    <t xml:space="preserve">EPS（美元）</t>
  </si>
  <si>
    <t xml:space="preserve">自由现金流</t>
  </si>
  <si>
    <t xml:space="preserve">资本开支/收入</t>
  </si>
  <si>
    <t xml:space="preserve">折旧/收入</t>
  </si>
  <si>
    <t xml:space="preserve">说明：折旧按 2019-2031 年资本开支的 8 年滚动平均计算（与报告口径一致）；股本按上年 FCF 的 60% 回购、25 倍 EPS 估值折算。由于回购采用上年 FCF，EPS 与报告存在 1%-2% 的差异。</t>
  </si>
  <si>
    <t xml:space="preserve">资本开支年度（折旧计算用）</t>
  </si>
  <si>
    <t xml:space="preserve">三情景对比（模型输出）</t>
  </si>
  <si>
    <t xml:space="preserve">来自 Python 完整模型：vintage 折旧、FCF 当年回购、8 家公司逐家加总。</t>
  </si>
  <si>
    <t xml:space="preserve">指标</t>
  </si>
  <si>
    <t xml:space="preserve">2031 不裁员</t>
  </si>
  <si>
    <t xml:space="preserve">2031 每年裁 10%</t>
  </si>
  <si>
    <t xml:space="preserve">2031 每年裁 20%</t>
  </si>
  <si>
    <t xml:space="preserve">10% 相对不裁</t>
  </si>
  <si>
    <t xml:space="preserve">20% 相对不裁</t>
  </si>
  <si>
    <t xml:space="preserve">资本开支</t>
  </si>
  <si>
    <t xml:space="preserve">注：EPS 为八家公司合计净利润/合计股本，指数化处理；比例为相对“不裁员”基准的差额。</t>
  </si>
  <si>
    <t xml:space="preserve">逐年路径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</si>
  <si>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</si>
  <si>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</si>
  <si>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</si>
  <si>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</si>
  <si>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</si>
  <si>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</si>
  <si>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不裁员</t>
  </si>
  <si>
    <t xml:space="preserve">每年裁 10%</t>
  </si>
  <si>
    <t xml:space="preserve">每年裁 20%</t>
  </si>
  <si>
    <t xml:space="preserve">FCF（十亿美元）</t>
  </si>
  <si>
    <t xml:space="preserve">敏感性：2026-2031 年 EPS 复合增速</t>
  </si>
  <si>
    <t xml:space="preserve">行：每年裁员速度；列：收入增速相对基准的偏移。</t>
  </si>
  <si>
    <t xml:space="preserve">裁员速度 \ 收入偏移</t>
  </si>
  <si>
    <t xml:space="preserve">-4pt</t>
  </si>
  <si>
    <t xml:space="preserve">-2pt</t>
  </si>
  <si>
    <t xml:space="preserve">基准</t>
  </si>
  <si>
    <t xml:space="preserve">+2pt</t>
  </si>
  <si>
    <t xml:space="preserve">+4pt</t>
  </si>
  <si>
    <t xml:space="preserve">QQQ 情景与概率加权</t>
  </si>
  <si>
    <t xml:space="preserve">指数 EPS 增速 = 65% × 八家公司 + 35% × 其余成分股；年化回报含 0.6% 股息率。</t>
  </si>
  <si>
    <t xml:space="preserve">情景</t>
  </si>
  <si>
    <t xml:space="preserve">假设</t>
  </si>
  <si>
    <t xml:space="preserve">指数 EPS 增速</t>
  </si>
  <si>
    <t xml:space="preserve">期末 PE</t>
  </si>
  <si>
    <t xml:space="preserve">2031 点位</t>
  </si>
  <si>
    <t xml:space="preserve">年化回报</t>
  </si>
  <si>
    <t xml:space="preserve">概率</t>
  </si>
  <si>
    <t xml:space="preserve">加权回报</t>
  </si>
  <si>
    <t xml:space="preserve">牛市：AI 收入兑现</t>
  </si>
  <si>
    <t xml:space="preserve">收入 +16% 起步，裁员 10%，云维持 40%+</t>
  </si>
  <si>
    <t xml:space="preserve">基准：增长放缓、估值回归</t>
  </si>
  <si>
    <t xml:space="preserve">收入 +12% 起步，裁员 10%，云降到 25%</t>
  </si>
  <si>
    <t xml:space="preserve">熊市：资本开支反噬</t>
  </si>
  <si>
    <t xml:space="preserve">收入 +7% 起步，裁员 10%，折旧超预期</t>
  </si>
  <si>
    <t xml:space="preserve">深度衰退：20% 裁员+需求破坏</t>
  </si>
  <si>
    <t xml:space="preserve">收入零增长，裁员 20%，估值 14x</t>
  </si>
  <si>
    <t xml:space="preserve">概率加权</t>
  </si>
  <si>
    <t xml:space="preserve">指数点位路径</t>
  </si>
  <si>
    <t xml:space="preserve">过去四个季度：裁员、财报与 QQQ</t>
  </si>
  <si>
    <t xml:space="preserve">公告口径，单位：千人；QQQ 为纳斯达克100 季度回报。Q4* 为 9/30-10/28 估计。</t>
  </si>
  <si>
    <t xml:space="preserve">季度</t>
  </si>
  <si>
    <t xml:space="preserve">公告裁员（千人）</t>
  </si>
  <si>
    <t xml:space="preserve">QQQ 当季回报</t>
  </si>
  <si>
    <t xml:space="preserve">代表性事件</t>
  </si>
  <si>
    <t xml:space="preserve">宏观/财报主线</t>
  </si>
  <si>
    <t xml:space="preserve">2025Q4</t>
  </si>
  <si>
    <t xml:space="preserve">亚马逊 1.4 万、IBM 约 3,000</t>
  </si>
  <si>
    <t xml:space="preserve">AI 资本开支扩张，财报稳健</t>
  </si>
  <si>
    <t xml:space="preserve">2026Q1</t>
  </si>
  <si>
    <t xml:space="preserve">亚马逊 1.6 万、戴尔 1.1 万、Block 4,000、Atlassian 1,600</t>
  </si>
  <si>
    <t xml:space="preserve">伊朗战争，油价 +79%</t>
  </si>
  <si>
    <t xml:space="preserve">2026Q2</t>
  </si>
  <si>
    <t xml:space="preserve">Meta 8,000、思科 4,000、PayPal 4,760、Intuit 3,000</t>
  </si>
  <si>
    <t xml:space="preserve">AI 财报大超预期</t>
  </si>
  <si>
    <t xml:space="preserve">2026Q3</t>
  </si>
  <si>
    <t xml:space="preserve">微软 4,800、谷歌滚动优化</t>
  </si>
  <si>
    <t xml:space="preserve">资本开支焦虑，Meta FCF -91%</t>
  </si>
  <si>
    <t xml:space="preserve">2026Q4*</t>
  </si>
  <si>
    <t xml:space="preserve">微软 6 万窗口、eBay 9%</t>
  </si>
  <si>
    <t xml:space="preserve">12 月加息概率 78.4%</t>
  </si>
  <si>
    <t xml:space="preserve">事件窗口：五个“纯裁员”公告的股价反应</t>
  </si>
  <si>
    <t xml:space="preserve">公司</t>
  </si>
  <si>
    <t xml:space="preserve">公告日</t>
  </si>
  <si>
    <t xml:space="preserve">裁员规模</t>
  </si>
  <si>
    <t xml:space="preserve">占员工</t>
  </si>
  <si>
    <t xml:space="preserve">股价反应</t>
  </si>
  <si>
    <t xml:space="preserve">关键变量</t>
  </si>
  <si>
    <t xml:space="preserve">Block</t>
  </si>
  <si>
    <t xml:space="preserve">2026-02-26</t>
  </si>
  <si>
    <t xml:space="preserve">约 50%</t>
  </si>
  <si>
    <t xml:space="preserve">+24%（盘后）</t>
  </si>
  <si>
    <t xml:space="preserve">裁员近半 + 费用节省 + AI 叙事</t>
  </si>
  <si>
    <t xml:space="preserve">思科</t>
  </si>
  <si>
    <t xml:space="preserve">2026-05-14</t>
  </si>
  <si>
    <t xml:space="preserve">&lt;5%</t>
  </si>
  <si>
    <t xml:space="preserve">+13.4%（当日）</t>
  </si>
  <si>
    <t xml:space="preserve">财报超预期 + 上调指引</t>
  </si>
  <si>
    <t xml:space="preserve">Snap</t>
  </si>
  <si>
    <t xml:space="preserve">2026-04-16</t>
  </si>
  <si>
    <t xml:space="preserve">16%</t>
  </si>
  <si>
    <t xml:space="preserve">+8%（当日）</t>
  </si>
  <si>
    <t xml:space="preserve">AI 生成 65% 新代码</t>
  </si>
  <si>
    <t xml:space="preserve">Atlassian</t>
  </si>
  <si>
    <t xml:space="preserve">2026-03-11</t>
  </si>
  <si>
    <t xml:space="preserve">10%</t>
  </si>
  <si>
    <t xml:space="preserve">+2%（当日）</t>
  </si>
  <si>
    <t xml:space="preserve">转向 AI/企业销售</t>
  </si>
  <si>
    <t xml:space="preserve">PayPal</t>
  </si>
  <si>
    <t xml:space="preserve">2026-05-05</t>
  </si>
  <si>
    <t xml:space="preserve">20%（2-3 年）</t>
  </si>
  <si>
    <t xml:space="preserve">-8%（当日）</t>
  </si>
  <si>
    <t xml:space="preserve">裁员 + 下调季度指引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</si>
</sst>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0.00"/>
    <numFmt numFmtId="167" formatCode="#,##0.0"/>
    <numFmt numFmtId="168" formatCode="#,##0"/>
    <numFmt numFmtId="169" formatCode="0%"/>
    <numFmt numFmtId="170" formatCode="0"/>
    <numFmt numFmtId="171" formatCode="\+0.00%;\-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微软雅黑"/>
      <family val="0"/>
      <charset val="1"/>
    </font>
    <font>
      <b val="true"/>
      <sz val="9"/>
      <color rgb="FF1A202C"/>
      <name val="微软雅黑"/>
      <family val="0"/>
      <charset val="1"/>
    </font>
    <font>
      <sz val="9"/>
      <color rgb="FF1A202C"/>
      <name val="微软雅黑"/>
      <family val="0"/>
      <charset val="1"/>
    </font>
    <font>
      <sz val="9"/>
      <color rgb="FF5A6672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b val="true"/>
      <sz val="9"/>
      <color rgb="FF1F4E9C"/>
      <name val="微软雅黑"/>
      <family val="0"/>
      <charset val="1"/>
    </font>
    <font>
      <i val="true"/>
      <sz val="8"/>
      <color rgb="FF8A949E"/>
      <name val="微软雅黑"/>
      <family val="0"/>
      <charset val="1"/>
    </font>
    <font>
      <b val="true"/>
      <sz val="10"/>
      <color rgb="FF1F3A5F"/>
      <name val="微软雅黑"/>
      <family val="0"/>
      <charset val="1"/>
    </font>
    <font>
      <b val="true"/>
      <sz val="11"/>
      <color rgb="FF1F3A5F"/>
      <name val="微软雅黑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SC"/>
      <family val="2"/>
    </font>
    <font>
      <b val="true"/>
      <sz val="10"/>
      <color rgb="FF000000"/>
      <name val="Calibri"/>
      <family val="2"/>
    </font>
    <font>
      <b val="true"/>
      <sz val="10"/>
      <color rgb="FFC0392B"/>
      <name val="微软雅黑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1F4E9C"/>
      </patternFill>
    </fill>
    <fill>
      <patternFill patternType="solid">
        <fgColor rgb="FFFFF7E6"/>
        <bgColor rgb="FFF3F6FA"/>
      </patternFill>
    </fill>
    <fill>
      <patternFill patternType="solid">
        <fgColor rgb="FFF3F6FA"/>
        <bgColor rgb="FFFFF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A6672"/>
      <rgbColor rgb="FF800080"/>
      <rgbColor rgb="FF008080"/>
      <rgbColor rgb="FFD9D9D9"/>
      <rgbColor rgb="FF878787"/>
      <rgbColor rgb="FF9999FF"/>
      <rgbColor rgb="FFBE4B48"/>
      <rgbColor rgb="FFFFF7E6"/>
      <rgbColor rgb="FFF3F6FA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8A949E"/>
      <rgbColor rgb="FF1F3A5F"/>
      <rgbColor rgb="FF4F81BD"/>
      <rgbColor rgb="FF003300"/>
      <rgbColor rgb="FF333300"/>
      <rgbColor rgb="FFC0392B"/>
      <rgbColor rgb="FF993366"/>
      <rgbColor rgb="FF1F4E9C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EPS 路径：裁员只能小幅抬高 EPS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情景对比!A20</c:f>
              <c:strCache>
                <c:ptCount val="1"/>
                <c:pt idx="0">
                  <c:v>不裁员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情景对比!$B$19:$G$19</c:f>
              <c:strCach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strCache>
            </c:strRef>
          </c:cat>
          <c:val>
            <c:numRef>
              <c:f>情景对比!$B$20:$G$20</c:f>
              <c:numCache>
                <c:formatCode>0.00</c:formatCode>
                <c:ptCount val="6"/>
                <c:pt idx="0">
                  <c:v>9.56546798646786</c:v>
                </c:pt>
                <c:pt idx="1">
                  <c:v>10.9200638943171</c:v>
                </c:pt>
                <c:pt idx="2">
                  <c:v>11.9242874041752</c:v>
                </c:pt>
                <c:pt idx="3">
                  <c:v>12.571372326058</c:v>
                </c:pt>
                <c:pt idx="4">
                  <c:v>13.1011021196827</c:v>
                </c:pt>
                <c:pt idx="5">
                  <c:v>13.5404205279339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情景对比!A21</c:f>
              <c:strCache>
                <c:ptCount val="1"/>
                <c:pt idx="0">
                  <c:v>每年裁 10%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情景对比!$B$19:$G$19</c:f>
              <c:strCach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strCache>
            </c:strRef>
          </c:cat>
          <c:val>
            <c:numRef>
              <c:f>情景对比!$B$21:$G$21</c:f>
              <c:numCache>
                <c:formatCode>0.00</c:formatCode>
                <c:ptCount val="6"/>
                <c:pt idx="0">
                  <c:v>9.56546798646786</c:v>
                </c:pt>
                <c:pt idx="1">
                  <c:v>11.1466426083362</c:v>
                </c:pt>
                <c:pt idx="2">
                  <c:v>12.3650716603965</c:v>
                </c:pt>
                <c:pt idx="3">
                  <c:v>13.2170650155969</c:v>
                </c:pt>
                <c:pt idx="4">
                  <c:v>13.9444496558452</c:v>
                </c:pt>
                <c:pt idx="5">
                  <c:v>14.5774070651508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情景对比!A22</c:f>
              <c:strCache>
                <c:ptCount val="1"/>
                <c:pt idx="0">
                  <c:v>每年裁 20%</c:v>
                </c:pt>
              </c:strCache>
            </c:strRef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情景对比!$B$19:$G$19</c:f>
              <c:strCach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strCache>
            </c:strRef>
          </c:cat>
          <c:val>
            <c:numRef>
              <c:f>情景对比!$B$22:$G$22</c:f>
              <c:numCache>
                <c:formatCode>0.00</c:formatCode>
                <c:ptCount val="6"/>
                <c:pt idx="0">
                  <c:v>9.56546798646786</c:v>
                </c:pt>
                <c:pt idx="1">
                  <c:v>11.3734950040371</c:v>
                </c:pt>
                <c:pt idx="2">
                  <c:v>12.7382580809261</c:v>
                </c:pt>
                <c:pt idx="3">
                  <c:v>13.6663409511917</c:v>
                </c:pt>
                <c:pt idx="4">
                  <c:v>14.407249215362</c:v>
                </c:pt>
                <c:pt idx="5">
                  <c:v>14.9029972383627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891091"/>
        <c:axId val="64401251"/>
      </c:lineChart>
      <c:catAx>
        <c:axId val="608910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年份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401251"/>
        <c:crosses val="autoZero"/>
        <c:auto val="1"/>
        <c:lblAlgn val="ctr"/>
        <c:lblOffset val="100"/>
        <c:noMultiLvlLbl val="0"/>
      </c:catAx>
      <c:valAx>
        <c:axId val="64401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EPS（美元）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891091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自由现金流路径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情景对比!A25</c:f>
              <c:strCache>
                <c:ptCount val="1"/>
                <c:pt idx="0">
                  <c:v>不裁员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情景对比!$B$24:$G$24</c:f>
              <c:strCach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strCache>
            </c:strRef>
          </c:cat>
          <c:val>
            <c:numRef>
              <c:f>情景对比!$B$25:$G$25</c:f>
              <c:numCache>
                <c:formatCode>#,##0</c:formatCode>
                <c:ptCount val="6"/>
                <c:pt idx="0">
                  <c:v>312</c:v>
                </c:pt>
                <c:pt idx="1">
                  <c:v>283</c:v>
                </c:pt>
                <c:pt idx="2">
                  <c:v>346</c:v>
                </c:pt>
                <c:pt idx="3">
                  <c:v>431</c:v>
                </c:pt>
                <c:pt idx="4">
                  <c:v>569</c:v>
                </c:pt>
                <c:pt idx="5">
                  <c:v>734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情景对比!A26</c:f>
              <c:strCache>
                <c:ptCount val="1"/>
                <c:pt idx="0">
                  <c:v>每年裁 10%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情景对比!$B$24:$G$24</c:f>
              <c:strCach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strCache>
            </c:strRef>
          </c:cat>
          <c:val>
            <c:numRef>
              <c:f>情景对比!$B$26:$G$26</c:f>
              <c:numCache>
                <c:formatCode>#,##0</c:formatCode>
                <c:ptCount val="6"/>
                <c:pt idx="0">
                  <c:v>312</c:v>
                </c:pt>
                <c:pt idx="1">
                  <c:v>300</c:v>
                </c:pt>
                <c:pt idx="2">
                  <c:v>379</c:v>
                </c:pt>
                <c:pt idx="3">
                  <c:v>479</c:v>
                </c:pt>
                <c:pt idx="4">
                  <c:v>630</c:v>
                </c:pt>
                <c:pt idx="5">
                  <c:v>808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情景对比!A27</c:f>
              <c:strCache>
                <c:ptCount val="1"/>
                <c:pt idx="0">
                  <c:v>每年裁 20%</c:v>
                </c:pt>
              </c:strCache>
            </c:strRef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情景对比!$B$24:$G$24</c:f>
              <c:strCach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strCache>
            </c:strRef>
          </c:cat>
          <c:val>
            <c:numRef>
              <c:f>情景对比!$B$27:$G$27</c:f>
              <c:numCache>
                <c:formatCode>#,##0</c:formatCode>
                <c:ptCount val="6"/>
                <c:pt idx="0">
                  <c:v>312</c:v>
                </c:pt>
                <c:pt idx="1">
                  <c:v>318</c:v>
                </c:pt>
                <c:pt idx="2">
                  <c:v>407</c:v>
                </c:pt>
                <c:pt idx="3">
                  <c:v>512</c:v>
                </c:pt>
                <c:pt idx="4">
                  <c:v>662</c:v>
                </c:pt>
                <c:pt idx="5">
                  <c:v>829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837268"/>
        <c:axId val="37817415"/>
      </c:lineChart>
      <c:catAx>
        <c:axId val="52837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817415"/>
        <c:crosses val="autoZero"/>
        <c:auto val="1"/>
        <c:lblAlgn val="ctr"/>
        <c:lblOffset val="100"/>
        <c:noMultiLvlLbl val="0"/>
      </c:catAx>
      <c:valAx>
        <c:axId val="378174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十亿美元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837268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QQQ 情景路径（纳斯达克100 点位）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QQQ!A14</c:f>
              <c:strCache>
                <c:ptCount val="1"/>
                <c:pt idx="0">
                  <c:v>牛市：AI 收入兑现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QQQ!$B$13:$G$13</c:f>
              <c:strCach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strCache>
            </c:strRef>
          </c:cat>
          <c:val>
            <c:numRef>
              <c:f>QQQ!$B$14:$G$14</c:f>
              <c:numCache>
                <c:formatCode>#,##0</c:formatCode>
                <c:ptCount val="6"/>
                <c:pt idx="0">
                  <c:v>29651</c:v>
                </c:pt>
                <c:pt idx="1">
                  <c:v>34458</c:v>
                </c:pt>
                <c:pt idx="2">
                  <c:v>40028</c:v>
                </c:pt>
                <c:pt idx="3">
                  <c:v>45605</c:v>
                </c:pt>
                <c:pt idx="4">
                  <c:v>51958</c:v>
                </c:pt>
                <c:pt idx="5">
                  <c:v>59196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QQQ!A15</c:f>
              <c:strCache>
                <c:ptCount val="1"/>
                <c:pt idx="0">
                  <c:v>基准：增长放缓、估值回归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QQQ!$B$13:$G$13</c:f>
              <c:strCach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strCache>
            </c:strRef>
          </c:cat>
          <c:val>
            <c:numRef>
              <c:f>QQQ!$B$15:$G$15</c:f>
              <c:numCache>
                <c:formatCode>#,##0</c:formatCode>
                <c:ptCount val="6"/>
                <c:pt idx="0">
                  <c:v>29651</c:v>
                </c:pt>
                <c:pt idx="1">
                  <c:v>30789</c:v>
                </c:pt>
                <c:pt idx="2">
                  <c:v>31916</c:v>
                </c:pt>
                <c:pt idx="3">
                  <c:v>34521</c:v>
                </c:pt>
                <c:pt idx="4">
                  <c:v>37340</c:v>
                </c:pt>
                <c:pt idx="5">
                  <c:v>40388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QQQ!A16</c:f>
              <c:strCache>
                <c:ptCount val="1"/>
                <c:pt idx="0">
                  <c:v>熊市：资本开支反噬</c:v>
                </c:pt>
              </c:strCache>
            </c:strRef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QQQ!$B$13:$G$13</c:f>
              <c:strCach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strCache>
            </c:strRef>
          </c:cat>
          <c:val>
            <c:numRef>
              <c:f>QQQ!$B$16:$G$16</c:f>
              <c:numCache>
                <c:formatCode>#,##0</c:formatCode>
                <c:ptCount val="6"/>
                <c:pt idx="0">
                  <c:v>29651</c:v>
                </c:pt>
                <c:pt idx="1">
                  <c:v>24971</c:v>
                </c:pt>
                <c:pt idx="2">
                  <c:v>20472</c:v>
                </c:pt>
                <c:pt idx="3">
                  <c:v>20047</c:v>
                </c:pt>
                <c:pt idx="4">
                  <c:v>19632</c:v>
                </c:pt>
                <c:pt idx="5">
                  <c:v>19224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QQQ!A17</c:f>
              <c:strCache>
                <c:ptCount val="1"/>
                <c:pt idx="0">
                  <c:v>深度衰退：20% 裁员+需求破坏</c:v>
                </c:pt>
              </c:strCache>
            </c:strRef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QQQ!$B$13:$G$13</c:f>
              <c:strCach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strCache>
            </c:strRef>
          </c:cat>
          <c:val>
            <c:numRef>
              <c:f>QQQ!$B$17:$G$17</c:f>
              <c:numCache>
                <c:formatCode>#,##0</c:formatCode>
                <c:ptCount val="6"/>
                <c:pt idx="0">
                  <c:v>29651</c:v>
                </c:pt>
                <c:pt idx="1">
                  <c:v>22584</c:v>
                </c:pt>
                <c:pt idx="2">
                  <c:v>15833</c:v>
                </c:pt>
                <c:pt idx="3">
                  <c:v>15460</c:v>
                </c:pt>
                <c:pt idx="4">
                  <c:v>15097</c:v>
                </c:pt>
                <c:pt idx="5">
                  <c:v>14742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52570"/>
        <c:axId val="61712581"/>
      </c:lineChart>
      <c:catAx>
        <c:axId val="8352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712581"/>
        <c:crosses val="autoZero"/>
        <c:auto val="1"/>
        <c:lblAlgn val="ctr"/>
        <c:lblOffset val="100"/>
        <c:noMultiLvlLbl val="0"/>
      </c:catAx>
      <c:valAx>
        <c:axId val="617125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点位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52570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裁员公告 vs QQQ 当季回报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季度跟踪!B4</c:f>
              <c:strCache>
                <c:ptCount val="1"/>
                <c:pt idx="0">
                  <c:v>公告裁员（千人）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季度跟踪!$A$5:$A$8</c:f>
              <c:strCache>
                <c:ptCount val="4"/>
                <c:pt idx="0">
                  <c:v>2025Q4</c:v>
                </c:pt>
                <c:pt idx="1">
                  <c:v>2026Q1</c:v>
                </c:pt>
                <c:pt idx="2">
                  <c:v>2026Q2</c:v>
                </c:pt>
                <c:pt idx="3">
                  <c:v>2026Q3</c:v>
                </c:pt>
              </c:strCache>
            </c:strRef>
          </c:cat>
          <c:val>
            <c:numRef>
              <c:f>季度跟踪!$B$5:$B$8</c:f>
              <c:numCache>
                <c:formatCode>#,##0.0</c:formatCode>
                <c:ptCount val="4"/>
                <c:pt idx="0">
                  <c:v>17</c:v>
                </c:pt>
                <c:pt idx="1">
                  <c:v>38.6</c:v>
                </c:pt>
                <c:pt idx="2">
                  <c:v>32</c:v>
                </c:pt>
                <c:pt idx="3">
                  <c:v>5.8</c:v>
                </c:pt>
              </c:numCache>
            </c:numRef>
          </c:val>
        </c:ser>
        <c:gapWidth val="150"/>
        <c:overlap val="0"/>
        <c:axId val="84246783"/>
        <c:axId val="12746880"/>
      </c:barChart>
      <c:lineChart>
        <c:grouping val="standard"/>
        <c:varyColors val="0"/>
        <c:ser>
          <c:idx val="1"/>
          <c:order val="1"/>
          <c:tx>
            <c:strRef>
              <c:f>季度跟踪!C4</c:f>
              <c:strCache>
                <c:ptCount val="1"/>
                <c:pt idx="0">
                  <c:v>QQQ 当季回报</c:v>
                </c:pt>
              </c:strCache>
            </c:strRef>
          </c:tx>
          <c:spPr>
            <a:ln w="2808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季度跟踪!$A$5:$A$8</c:f>
              <c:strCache>
                <c:ptCount val="4"/>
                <c:pt idx="0">
                  <c:v>2025Q4</c:v>
                </c:pt>
                <c:pt idx="1">
                  <c:v>2026Q1</c:v>
                </c:pt>
                <c:pt idx="2">
                  <c:v>2026Q2</c:v>
                </c:pt>
                <c:pt idx="3">
                  <c:v>2026Q3</c:v>
                </c:pt>
              </c:strCache>
            </c:strRef>
          </c:cat>
          <c:val>
            <c:numRef>
              <c:f>季度跟踪!$C$5:$C$8</c:f>
              <c:numCache>
                <c:formatCode>\+0.00%;\-0.00%</c:formatCode>
                <c:ptCount val="4"/>
                <c:pt idx="0">
                  <c:v>0.0245</c:v>
                </c:pt>
                <c:pt idx="1">
                  <c:v>-0.0593</c:v>
                </c:pt>
                <c:pt idx="2">
                  <c:v>0.2773</c:v>
                </c:pt>
                <c:pt idx="3">
                  <c:v>-0.0376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660259"/>
        <c:axId val="55466017"/>
      </c:lineChart>
      <c:catAx>
        <c:axId val="8424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746880"/>
        <c:crosses val="autoZero"/>
        <c:auto val="1"/>
        <c:lblAlgn val="ctr"/>
        <c:lblOffset val="100"/>
        <c:noMultiLvlLbl val="0"/>
      </c:catAx>
      <c:valAx>
        <c:axId val="127468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公告裁员（千人）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246783"/>
        <c:crosses val="autoZero"/>
        <c:crossBetween val="between"/>
      </c:valAx>
      <c:catAx>
        <c:axId val="6666025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466017"/>
        <c:crosses val="autoZero"/>
        <c:auto val="1"/>
        <c:lblAlgn val="ctr"/>
        <c:lblOffset val="100"/>
        <c:noMultiLvlLbl val="0"/>
      </c:catAx>
      <c:valAx>
        <c:axId val="5546601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QQQ 当季回报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.00%;\-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660259"/>
        <c:crosses val="max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507600</xdr:colOff>
      <xdr:row>17</xdr:row>
      <xdr:rowOff>21960</xdr:rowOff>
    </xdr:to>
    <xdr:graphicFrame>
      <xdr:nvGraphicFramePr>
        <xdr:cNvPr id="1" name="Chart 1"/>
        <xdr:cNvGraphicFramePr/>
      </xdr:nvGraphicFramePr>
      <xdr:xfrm>
        <a:off x="8505720" y="9237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0</xdr:rowOff>
    </xdr:from>
    <xdr:to>
      <xdr:col>16</xdr:col>
      <xdr:colOff>507600</xdr:colOff>
      <xdr:row>35</xdr:row>
      <xdr:rowOff>22320</xdr:rowOff>
    </xdr:to>
    <xdr:graphicFrame>
      <xdr:nvGraphicFramePr>
        <xdr:cNvPr id="2" name="Chart 2"/>
        <xdr:cNvGraphicFramePr/>
      </xdr:nvGraphicFramePr>
      <xdr:xfrm>
        <a:off x="8505720" y="47340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19</xdr:col>
      <xdr:colOff>4680</xdr:colOff>
      <xdr:row>16</xdr:row>
      <xdr:rowOff>21960</xdr:rowOff>
    </xdr:to>
    <xdr:graphicFrame>
      <xdr:nvGraphicFramePr>
        <xdr:cNvPr id="3" name="Chart 1"/>
        <xdr:cNvGraphicFramePr/>
      </xdr:nvGraphicFramePr>
      <xdr:xfrm>
        <a:off x="10902240" y="9237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507600</xdr:colOff>
      <xdr:row>8</xdr:row>
      <xdr:rowOff>60120</xdr:rowOff>
    </xdr:to>
    <xdr:graphicFrame>
      <xdr:nvGraphicFramePr>
        <xdr:cNvPr id="4" name="Chart 1"/>
        <xdr:cNvGraphicFramePr/>
      </xdr:nvGraphicFramePr>
      <xdr:xfrm>
        <a:off x="9092520" y="9237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4" customFormat="false" ht="48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  <c r="I4" s="3"/>
    </row>
    <row r="5" customFormat="false" ht="48" hidden="false" customHeight="true" outlineLevel="0" collapsed="false">
      <c r="A5" s="2" t="s">
        <v>3</v>
      </c>
      <c r="B5" s="3" t="s">
        <v>4</v>
      </c>
      <c r="C5" s="3"/>
      <c r="D5" s="3"/>
      <c r="E5" s="3"/>
      <c r="F5" s="3"/>
      <c r="G5" s="3"/>
      <c r="H5" s="3"/>
      <c r="I5" s="3"/>
    </row>
    <row r="6" customFormat="false" ht="48" hidden="false" customHeight="true" outlineLevel="0" collapsed="false">
      <c r="A6" s="2" t="s">
        <v>5</v>
      </c>
      <c r="B6" s="3" t="s">
        <v>6</v>
      </c>
      <c r="C6" s="3"/>
      <c r="D6" s="3"/>
      <c r="E6" s="3"/>
      <c r="F6" s="3"/>
      <c r="G6" s="3"/>
      <c r="H6" s="3"/>
      <c r="I6" s="3"/>
    </row>
    <row r="7" customFormat="false" ht="48" hidden="false" customHeight="true" outlineLevel="0" collapsed="false">
      <c r="A7" s="2" t="s">
        <v>7</v>
      </c>
      <c r="B7" s="3" t="s">
        <v>8</v>
      </c>
      <c r="C7" s="3"/>
      <c r="D7" s="3"/>
      <c r="E7" s="3"/>
      <c r="F7" s="3"/>
      <c r="G7" s="3"/>
      <c r="H7" s="3"/>
      <c r="I7" s="3"/>
    </row>
    <row r="8" customFormat="false" ht="48" hidden="false" customHeight="true" outlineLevel="0" collapsed="false">
      <c r="A8" s="2" t="s">
        <v>9</v>
      </c>
      <c r="B8" s="3" t="s">
        <v>10</v>
      </c>
      <c r="C8" s="3"/>
      <c r="D8" s="3"/>
      <c r="E8" s="3"/>
      <c r="F8" s="3"/>
      <c r="G8" s="3"/>
      <c r="H8" s="3"/>
      <c r="I8" s="3"/>
    </row>
    <row r="9" customFormat="false" ht="48" hidden="false" customHeight="true" outlineLevel="0" collapsed="false">
      <c r="A9" s="2" t="s">
        <v>11</v>
      </c>
      <c r="B9" s="3" t="s">
        <v>12</v>
      </c>
      <c r="C9" s="3"/>
      <c r="D9" s="3"/>
      <c r="E9" s="3"/>
      <c r="F9" s="3"/>
      <c r="G9" s="3"/>
      <c r="H9" s="3"/>
      <c r="I9" s="3"/>
    </row>
  </sheetData>
  <mergeCells count="7">
    <mergeCell ref="A1:I1"/>
    <mergeCell ref="B4:I4"/>
    <mergeCell ref="B5:I5"/>
    <mergeCell ref="B6:I6"/>
    <mergeCell ref="B7:I7"/>
    <mergeCell ref="B8:I8"/>
    <mergeCell ref="B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" t="s">
        <v>13</v>
      </c>
      <c r="B1" s="1"/>
      <c r="C1" s="1"/>
      <c r="D1" s="1"/>
    </row>
    <row r="2" customFormat="false" ht="27.75" hidden="false" customHeight="true" outlineLevel="0" collapsed="false">
      <c r="A2" s="4" t="s">
        <v>14</v>
      </c>
      <c r="B2" s="4"/>
      <c r="C2" s="4"/>
      <c r="D2" s="4"/>
    </row>
    <row r="4" customFormat="false" ht="30" hidden="false" customHeight="true" outlineLevel="0" collapsed="false">
      <c r="A4" s="5" t="s">
        <v>15</v>
      </c>
      <c r="B4" s="5" t="s">
        <v>16</v>
      </c>
      <c r="C4" s="5" t="s">
        <v>17</v>
      </c>
      <c r="D4" s="5" t="s">
        <v>18</v>
      </c>
    </row>
    <row r="5" customFormat="false" ht="15" hidden="false" customHeight="false" outlineLevel="0" collapsed="false">
      <c r="A5" s="6" t="s">
        <v>19</v>
      </c>
      <c r="B5" s="7" t="n">
        <v>0.1</v>
      </c>
      <c r="C5" s="8" t="s">
        <v>20</v>
      </c>
      <c r="D5" s="6" t="s">
        <v>21</v>
      </c>
    </row>
    <row r="6" customFormat="false" ht="15" hidden="false" customHeight="false" outlineLevel="0" collapsed="false">
      <c r="A6" s="6" t="s">
        <v>22</v>
      </c>
      <c r="B6" s="7" t="n">
        <v>0.05</v>
      </c>
      <c r="C6" s="8" t="s">
        <v>20</v>
      </c>
      <c r="D6" s="6" t="s">
        <v>23</v>
      </c>
    </row>
    <row r="7" customFormat="false" ht="15" hidden="false" customHeight="false" outlineLevel="0" collapsed="false">
      <c r="A7" s="6" t="s">
        <v>24</v>
      </c>
      <c r="B7" s="7" t="n">
        <v>0.2</v>
      </c>
      <c r="C7" s="8" t="s">
        <v>20</v>
      </c>
      <c r="D7" s="6" t="s">
        <v>25</v>
      </c>
    </row>
    <row r="8" customFormat="false" ht="15" hidden="false" customHeight="false" outlineLevel="0" collapsed="false">
      <c r="A8" s="6" t="s">
        <v>26</v>
      </c>
      <c r="B8" s="7" t="n">
        <v>0.08</v>
      </c>
      <c r="C8" s="8" t="s">
        <v>20</v>
      </c>
      <c r="D8" s="6" t="s">
        <v>27</v>
      </c>
    </row>
    <row r="9" customFormat="false" ht="15" hidden="false" customHeight="false" outlineLevel="0" collapsed="false">
      <c r="A9" s="6" t="s">
        <v>28</v>
      </c>
      <c r="B9" s="9" t="n">
        <v>0.75</v>
      </c>
      <c r="C9" s="8" t="s">
        <v>29</v>
      </c>
      <c r="D9" s="6" t="s">
        <v>30</v>
      </c>
    </row>
    <row r="10" customFormat="false" ht="15" hidden="false" customHeight="false" outlineLevel="0" collapsed="false">
      <c r="A10" s="6" t="s">
        <v>31</v>
      </c>
      <c r="B10" s="10" t="n">
        <v>8</v>
      </c>
      <c r="C10" s="8" t="s">
        <v>32</v>
      </c>
      <c r="D10" s="6" t="s">
        <v>33</v>
      </c>
    </row>
    <row r="11" customFormat="false" ht="15" hidden="false" customHeight="false" outlineLevel="0" collapsed="false">
      <c r="A11" s="6" t="s">
        <v>34</v>
      </c>
      <c r="B11" s="7" t="n">
        <v>0.18</v>
      </c>
      <c r="C11" s="8" t="s">
        <v>20</v>
      </c>
      <c r="D11" s="6" t="s">
        <v>35</v>
      </c>
    </row>
    <row r="12" customFormat="false" ht="15" hidden="false" customHeight="false" outlineLevel="0" collapsed="false">
      <c r="A12" s="6" t="s">
        <v>36</v>
      </c>
      <c r="B12" s="9" t="n">
        <v>0.025</v>
      </c>
      <c r="C12" s="8" t="s">
        <v>37</v>
      </c>
      <c r="D12" s="6" t="s">
        <v>38</v>
      </c>
    </row>
    <row r="13" customFormat="false" ht="15" hidden="false" customHeight="false" outlineLevel="0" collapsed="false">
      <c r="A13" s="6" t="s">
        <v>39</v>
      </c>
      <c r="B13" s="9" t="n">
        <v>0.02</v>
      </c>
      <c r="C13" s="8" t="s">
        <v>40</v>
      </c>
      <c r="D13" s="6" t="s">
        <v>35</v>
      </c>
    </row>
    <row r="14" customFormat="false" ht="15" hidden="false" customHeight="false" outlineLevel="0" collapsed="false">
      <c r="A14" s="6" t="s">
        <v>41</v>
      </c>
      <c r="B14" s="9" t="n">
        <v>0.6</v>
      </c>
      <c r="C14" s="8" t="s">
        <v>42</v>
      </c>
      <c r="D14" s="6" t="s">
        <v>43</v>
      </c>
    </row>
    <row r="15" customFormat="false" ht="15" hidden="false" customHeight="false" outlineLevel="0" collapsed="false">
      <c r="A15" s="6" t="s">
        <v>44</v>
      </c>
      <c r="B15" s="10" t="n">
        <v>25</v>
      </c>
      <c r="C15" s="8" t="s">
        <v>45</v>
      </c>
      <c r="D15" s="6" t="s">
        <v>46</v>
      </c>
    </row>
    <row r="16" customFormat="false" ht="15" hidden="false" customHeight="false" outlineLevel="0" collapsed="false">
      <c r="A16" s="6" t="s">
        <v>47</v>
      </c>
      <c r="B16" s="9" t="n">
        <v>2936.8</v>
      </c>
      <c r="C16" s="8" t="s">
        <v>48</v>
      </c>
      <c r="D16" s="6" t="s">
        <v>49</v>
      </c>
    </row>
    <row r="17" customFormat="false" ht="15" hidden="false" customHeight="false" outlineLevel="0" collapsed="false">
      <c r="A17" s="6" t="s">
        <v>50</v>
      </c>
      <c r="B17" s="9" t="n">
        <v>328.2</v>
      </c>
      <c r="C17" s="8" t="s">
        <v>48</v>
      </c>
      <c r="D17" s="6" t="s">
        <v>35</v>
      </c>
    </row>
    <row r="18" customFormat="false" ht="15" hidden="false" customHeight="false" outlineLevel="0" collapsed="false">
      <c r="A18" s="6" t="s">
        <v>51</v>
      </c>
      <c r="B18" s="9" t="n">
        <v>1488.6</v>
      </c>
      <c r="C18" s="8" t="s">
        <v>48</v>
      </c>
      <c r="D18" s="6" t="s">
        <v>52</v>
      </c>
    </row>
    <row r="19" customFormat="false" ht="15" hidden="false" customHeight="false" outlineLevel="0" collapsed="false">
      <c r="A19" s="6" t="s">
        <v>53</v>
      </c>
      <c r="B19" s="9" t="n">
        <v>190</v>
      </c>
      <c r="C19" s="8" t="s">
        <v>48</v>
      </c>
      <c r="D19" s="6" t="s">
        <v>35</v>
      </c>
    </row>
    <row r="20" customFormat="false" ht="15" hidden="false" customHeight="false" outlineLevel="0" collapsed="false">
      <c r="A20" s="6" t="s">
        <v>54</v>
      </c>
      <c r="B20" s="9" t="n">
        <v>715</v>
      </c>
      <c r="C20" s="8" t="s">
        <v>48</v>
      </c>
      <c r="D20" s="6" t="s">
        <v>35</v>
      </c>
    </row>
    <row r="21" customFormat="false" ht="15" hidden="false" customHeight="false" outlineLevel="0" collapsed="false">
      <c r="A21" s="6" t="s">
        <v>55</v>
      </c>
      <c r="B21" s="10" t="n">
        <v>1189</v>
      </c>
      <c r="C21" s="8" t="s">
        <v>56</v>
      </c>
      <c r="D21" s="6" t="s">
        <v>57</v>
      </c>
    </row>
    <row r="22" customFormat="false" ht="15" hidden="false" customHeight="false" outlineLevel="0" collapsed="false">
      <c r="A22" s="6" t="s">
        <v>58</v>
      </c>
      <c r="B22" s="9" t="n">
        <v>763.4</v>
      </c>
      <c r="C22" s="8" t="s">
        <v>48</v>
      </c>
      <c r="D22" s="6" t="s">
        <v>59</v>
      </c>
    </row>
    <row r="23" customFormat="false" ht="15" hidden="false" customHeight="false" outlineLevel="0" collapsed="false">
      <c r="A23" s="6" t="s">
        <v>60</v>
      </c>
      <c r="B23" s="9" t="n">
        <v>78.2</v>
      </c>
      <c r="C23" s="8" t="s">
        <v>61</v>
      </c>
      <c r="D23" s="6" t="s">
        <v>62</v>
      </c>
    </row>
    <row r="24" customFormat="false" ht="15" hidden="false" customHeight="false" outlineLevel="0" collapsed="false">
      <c r="A24" s="6" t="s">
        <v>63</v>
      </c>
      <c r="B24" s="9" t="n">
        <v>9.57</v>
      </c>
      <c r="C24" s="8" t="s">
        <v>64</v>
      </c>
      <c r="D24" s="6" t="s">
        <v>65</v>
      </c>
    </row>
    <row r="25" customFormat="false" ht="15" hidden="false" customHeight="false" outlineLevel="0" collapsed="false">
      <c r="A25" s="6" t="s">
        <v>66</v>
      </c>
      <c r="B25" s="9" t="n">
        <v>0.05</v>
      </c>
      <c r="C25" s="8" t="s">
        <v>67</v>
      </c>
      <c r="D25" s="6" t="s">
        <v>68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30" hidden="false" customHeight="true" outlineLevel="0" collapsed="false">
      <c r="A1" s="1" t="s">
        <v>69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4" t="s">
        <v>70</v>
      </c>
      <c r="B2" s="4"/>
      <c r="C2" s="4"/>
      <c r="D2" s="4"/>
      <c r="E2" s="4"/>
      <c r="F2" s="4"/>
      <c r="G2" s="4"/>
    </row>
    <row r="4" customFormat="false" ht="30" hidden="false" customHeight="true" outlineLevel="0" collapsed="false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</row>
    <row r="5" customFormat="false" ht="15" hidden="false" customHeight="false" outlineLevel="0" collapsed="false">
      <c r="A5" s="6" t="s">
        <v>78</v>
      </c>
      <c r="B5" s="11"/>
      <c r="C5" s="7" t="n">
        <v>0.12</v>
      </c>
      <c r="D5" s="7" t="n">
        <v>0.1</v>
      </c>
      <c r="E5" s="7" t="n">
        <v>0.08</v>
      </c>
      <c r="F5" s="7" t="n">
        <v>0.07</v>
      </c>
      <c r="G5" s="7" t="n">
        <v>0.06</v>
      </c>
    </row>
    <row r="6" customFormat="false" ht="15" hidden="false" customHeight="false" outlineLevel="0" collapsed="false">
      <c r="A6" s="6" t="s">
        <v>79</v>
      </c>
      <c r="B6" s="12" t="n">
        <f aca="false">假设!$B$16</f>
        <v>2936.8</v>
      </c>
      <c r="C6" s="12" t="n">
        <f aca="false">B6*(1+C5-假设!$B$25*假设!$B$5)</f>
        <v>3274.532</v>
      </c>
      <c r="D6" s="12" t="n">
        <f aca="false">C6*(1+D5-假设!$B$25*假设!$B$5)</f>
        <v>3585.61254</v>
      </c>
      <c r="E6" s="12" t="n">
        <f aca="false">D6*(1+E5-假设!$B$25*假设!$B$5)</f>
        <v>3854.5334805</v>
      </c>
      <c r="F6" s="12" t="n">
        <f aca="false">E6*(1+F5-假设!$B$25*假设!$B$5)</f>
        <v>4105.0781567325</v>
      </c>
      <c r="G6" s="12" t="n">
        <f aca="false">F6*(1+G5-假设!$B$25*假设!$B$5)</f>
        <v>4330.85745535279</v>
      </c>
    </row>
    <row r="7" customFormat="false" ht="15" hidden="false" customHeight="false" outlineLevel="0" collapsed="false">
      <c r="A7" s="6" t="s">
        <v>80</v>
      </c>
      <c r="B7" s="13" t="n">
        <f aca="false">假设!$B$21</f>
        <v>1189</v>
      </c>
      <c r="C7" s="13" t="n">
        <f aca="false">MAX(B7*(1-假设!$B$5),假设!$B$21*0.35)</f>
        <v>1070.1</v>
      </c>
      <c r="D7" s="13" t="n">
        <f aca="false">MAX(C7*(1-假设!$B$5),假设!$B$21*0.35)</f>
        <v>963.09</v>
      </c>
      <c r="E7" s="13" t="n">
        <f aca="false">MAX(D7*(1-假设!$B$5),假设!$B$21*0.35)</f>
        <v>866.781</v>
      </c>
      <c r="F7" s="13" t="n">
        <f aca="false">MAX(E7*(1-假设!$B$5),假设!$B$21*0.35)</f>
        <v>780.1029</v>
      </c>
      <c r="G7" s="13" t="n">
        <f aca="false">MAX(F7*(1-假设!$B$5),假设!$B$21*0.35)</f>
        <v>702.09261</v>
      </c>
    </row>
    <row r="8" customFormat="false" ht="15" hidden="false" customHeight="false" outlineLevel="0" collapsed="false">
      <c r="A8" s="6" t="s">
        <v>81</v>
      </c>
      <c r="B8" s="14" t="n">
        <f aca="false">假设!$B$17/假设!$B$21</f>
        <v>0.276030277544155</v>
      </c>
      <c r="C8" s="14" t="n">
        <f aca="false">B8*(1+假设!$B$6)</f>
        <v>0.289831791421363</v>
      </c>
      <c r="D8" s="14" t="n">
        <f aca="false">C8*(1+假设!$B$6)</f>
        <v>0.304323380992431</v>
      </c>
      <c r="E8" s="14" t="n">
        <f aca="false">D8*(1+假设!$B$6)</f>
        <v>0.319539550042052</v>
      </c>
      <c r="F8" s="14" t="n">
        <f aca="false">E8*(1+假设!$B$6)</f>
        <v>0.335516527544155</v>
      </c>
      <c r="G8" s="14" t="n">
        <f aca="false">F8*(1+假设!$B$6)</f>
        <v>0.352292353921363</v>
      </c>
    </row>
    <row r="9" customFormat="false" ht="15" hidden="false" customHeight="false" outlineLevel="0" collapsed="false">
      <c r="A9" s="6" t="s">
        <v>82</v>
      </c>
      <c r="B9" s="12" t="n">
        <f aca="false">假设!$B$17</f>
        <v>328.2</v>
      </c>
      <c r="C9" s="12" t="n">
        <f aca="false">ROUND(C7*C8,1)</f>
        <v>310.1</v>
      </c>
      <c r="D9" s="12" t="n">
        <f aca="false">ROUND(D7*D8,1)</f>
        <v>293.1</v>
      </c>
      <c r="E9" s="12" t="n">
        <f aca="false">ROUND(E7*E8,1)</f>
        <v>277</v>
      </c>
      <c r="F9" s="12" t="n">
        <f aca="false">ROUND(F7*F8,1)</f>
        <v>261.7</v>
      </c>
      <c r="G9" s="12" t="n">
        <f aca="false">ROUND(G7*G8,1)</f>
        <v>247.3</v>
      </c>
    </row>
    <row r="10" customFormat="false" ht="15" hidden="false" customHeight="false" outlineLevel="0" collapsed="false">
      <c r="A10" s="6" t="s">
        <v>83</v>
      </c>
      <c r="B10" s="13" t="n">
        <v>0</v>
      </c>
      <c r="C10" s="13" t="n">
        <f aca="false">假设!$B$21-C7</f>
        <v>118.9</v>
      </c>
      <c r="D10" s="13" t="n">
        <f aca="false">假设!$B$21-D7</f>
        <v>225.91</v>
      </c>
      <c r="E10" s="13" t="n">
        <f aca="false">假设!$B$21-E7</f>
        <v>322.219</v>
      </c>
      <c r="F10" s="13" t="n">
        <f aca="false">假设!$B$21-F7</f>
        <v>408.8971</v>
      </c>
      <c r="G10" s="13" t="n">
        <f aca="false">假设!$B$21-G7</f>
        <v>486.90739</v>
      </c>
    </row>
    <row r="11" customFormat="false" ht="15" hidden="false" customHeight="false" outlineLevel="0" collapsed="false">
      <c r="A11" s="6" t="s">
        <v>84</v>
      </c>
      <c r="B11" s="12" t="n">
        <v>0</v>
      </c>
      <c r="C11" s="12" t="n">
        <f aca="false">ROUND(C10*假设!$B$17/假设!$B$21*假设!$B$7+C9*假设!$B$8,1)</f>
        <v>31.4</v>
      </c>
      <c r="D11" s="12" t="n">
        <f aca="false">ROUND(D10*假设!$B$17/假设!$B$21*假设!$B$7+D9*假设!$B$8,1)</f>
        <v>35.9</v>
      </c>
      <c r="E11" s="12" t="n">
        <f aca="false">ROUND(E10*假设!$B$17/假设!$B$21*假设!$B$7+E9*假设!$B$8,1)</f>
        <v>39.9</v>
      </c>
      <c r="F11" s="12" t="n">
        <f aca="false">ROUND(F10*假设!$B$17/假设!$B$21*假设!$B$7+F9*假设!$B$8,1)</f>
        <v>43.5</v>
      </c>
      <c r="G11" s="12" t="n">
        <f aca="false">ROUND(G10*假设!$B$17/假设!$B$21*假设!$B$7+G9*假设!$B$8,1)</f>
        <v>46.7</v>
      </c>
    </row>
    <row r="12" customFormat="false" ht="15" hidden="false" customHeight="false" outlineLevel="0" collapsed="false">
      <c r="A12" s="6" t="s">
        <v>85</v>
      </c>
      <c r="B12" s="12" t="n">
        <f aca="false">假设!$B$18</f>
        <v>1488.6</v>
      </c>
      <c r="C12" s="12" t="n">
        <f aca="false">ROUND(假设!$B$18*(C6/假设!$B$16)^假设!$B$9,1)</f>
        <v>1615.2</v>
      </c>
      <c r="D12" s="12" t="n">
        <f aca="false">ROUND(假设!$B$18*(D6/假设!$B$16)^假设!$B$9,1)</f>
        <v>1729</v>
      </c>
      <c r="E12" s="12" t="n">
        <f aca="false">ROUND(假设!$B$18*(E6/假设!$B$16)^假设!$B$9,1)</f>
        <v>1825.4</v>
      </c>
      <c r="F12" s="12" t="n">
        <f aca="false">ROUND(假设!$B$18*(F6/假设!$B$16)^假设!$B$9,1)</f>
        <v>1913.7</v>
      </c>
      <c r="G12" s="12" t="n">
        <f aca="false">ROUND(假设!$B$18*(G6/假设!$B$16)^假设!$B$9,1)</f>
        <v>1992.1</v>
      </c>
    </row>
    <row r="13" customFormat="false" ht="15" hidden="false" customHeight="false" outlineLevel="0" collapsed="false">
      <c r="A13" s="6" t="s">
        <v>86</v>
      </c>
      <c r="B13" s="12" t="n">
        <f aca="false">假设!$B$19</f>
        <v>190</v>
      </c>
      <c r="C13" s="12" t="n">
        <f aca="false">ROUND(AVERAGEIFS($B$28:$B$40,$A$28:$A$40,"&gt;="&amp;2019,$A$28:$A$40,"&lt;"&amp;2027),1)</f>
        <v>242.5</v>
      </c>
      <c r="D13" s="12" t="n">
        <f aca="false">ROUND(AVERAGEIFS($B$28:$B$40,$A$28:$A$40,"&gt;="&amp;2020,$A$28:$A$40,"&lt;"&amp;2028),1)</f>
        <v>345</v>
      </c>
      <c r="E13" s="12" t="n">
        <f aca="false">ROUND(AVERAGEIFS($B$28:$B$40,$A$28:$A$40,"&gt;="&amp;2021,$A$28:$A$40,"&lt;"&amp;2029),1)</f>
        <v>460.6</v>
      </c>
      <c r="F13" s="12" t="n">
        <f aca="false">ROUND(AVERAGEIFS($B$28:$B$40,$A$28:$A$40,"&gt;="&amp;2022,$A$28:$A$40,"&lt;"&amp;2030),1)</f>
        <v>581.9</v>
      </c>
      <c r="G13" s="12" t="n">
        <f aca="false">ROUND(AVERAGEIFS($B$28:$B$40,$A$28:$A$40,"&gt;="&amp;2023,$A$28:$A$40,"&lt;"&amp;2031),1)</f>
        <v>701.9</v>
      </c>
    </row>
    <row r="14" customFormat="false" ht="15" hidden="false" customHeight="false" outlineLevel="0" collapsed="false">
      <c r="A14" s="6" t="s">
        <v>87</v>
      </c>
      <c r="B14" s="12" t="n">
        <f aca="false">假设!$B$20</f>
        <v>715</v>
      </c>
      <c r="C14" s="15" t="n">
        <v>900</v>
      </c>
      <c r="D14" s="15" t="n">
        <v>1020</v>
      </c>
      <c r="E14" s="15" t="n">
        <v>1100</v>
      </c>
      <c r="F14" s="15" t="n">
        <v>1120</v>
      </c>
      <c r="G14" s="15" t="n">
        <v>1100</v>
      </c>
    </row>
    <row r="15" customFormat="false" ht="15" hidden="false" customHeight="false" outlineLevel="0" collapsed="false">
      <c r="A15" s="16" t="s">
        <v>88</v>
      </c>
      <c r="B15" s="12" t="n">
        <f aca="false">B6-B9-B11-B12-B13</f>
        <v>930.000000000001</v>
      </c>
      <c r="C15" s="12" t="n">
        <f aca="false">C6-C9-C11-C12-C13</f>
        <v>1075.332</v>
      </c>
      <c r="D15" s="12" t="n">
        <f aca="false">D6-D9-D11-D12-D13</f>
        <v>1182.61254</v>
      </c>
      <c r="E15" s="12" t="n">
        <f aca="false">E6-E9-E11-E12-E13</f>
        <v>1251.6334805</v>
      </c>
      <c r="F15" s="12" t="n">
        <f aca="false">F6-F9-F11-F12-F13</f>
        <v>1304.2781567325</v>
      </c>
      <c r="G15" s="12" t="n">
        <f aca="false">G6-G9-G11-G12-G13</f>
        <v>1342.85745535279</v>
      </c>
    </row>
    <row r="16" customFormat="false" ht="15" hidden="false" customHeight="false" outlineLevel="0" collapsed="false">
      <c r="A16" s="6" t="s">
        <v>89</v>
      </c>
      <c r="B16" s="11" t="n">
        <f aca="false">B15/B6</f>
        <v>0.316671206755653</v>
      </c>
      <c r="C16" s="11" t="n">
        <f aca="false">C15/C6</f>
        <v>0.328392576404812</v>
      </c>
      <c r="D16" s="11" t="n">
        <f aca="false">D15/D6</f>
        <v>0.329821620938441</v>
      </c>
      <c r="E16" s="11" t="n">
        <f aca="false">E15/E6</f>
        <v>0.324717241874273</v>
      </c>
      <c r="F16" s="11" t="n">
        <f aca="false">F15/F6</f>
        <v>0.317723099764479</v>
      </c>
      <c r="G16" s="11" t="n">
        <f aca="false">G15/G6</f>
        <v>0.31006734098188</v>
      </c>
    </row>
    <row r="17" customFormat="false" ht="15" hidden="false" customHeight="false" outlineLevel="0" collapsed="false">
      <c r="A17" s="6" t="s">
        <v>90</v>
      </c>
      <c r="B17" s="12" t="n">
        <f aca="false">假设!$B$22</f>
        <v>763.4</v>
      </c>
      <c r="C17" s="12" t="n">
        <f aca="false">C15*(1-假设!$B$11)</f>
        <v>881.772240000001</v>
      </c>
      <c r="D17" s="12" t="n">
        <f aca="false">D15*(1-假设!$B$11)</f>
        <v>969.742282800001</v>
      </c>
      <c r="E17" s="12" t="n">
        <f aca="false">E15*(1-假设!$B$11)</f>
        <v>1026.33945401</v>
      </c>
      <c r="F17" s="12" t="n">
        <f aca="false">F15*(1-假设!$B$11)</f>
        <v>1069.50808852065</v>
      </c>
      <c r="G17" s="12" t="n">
        <f aca="false">G15*(1-假设!$B$11)</f>
        <v>1101.14311338929</v>
      </c>
    </row>
    <row r="18" customFormat="false" ht="15" hidden="false" customHeight="false" outlineLevel="0" collapsed="false">
      <c r="A18" s="6" t="s">
        <v>91</v>
      </c>
      <c r="B18" s="14" t="n">
        <f aca="false">假设!$B$23</f>
        <v>78.2</v>
      </c>
      <c r="C18" s="14" t="n">
        <f aca="false">B18-MIN(B20*假设!$B$14,C17*0.9)/(假设!$B$15*B19)</f>
        <v>77.4180062695925</v>
      </c>
      <c r="D18" s="14" t="n">
        <f aca="false">C18-MIN(C20*假设!$B$14,D17*0.9)/(假设!$B$15*C19)</f>
        <v>76.7871638454346</v>
      </c>
      <c r="E18" s="14" t="n">
        <f aca="false">D18-MIN(D20*假设!$B$14,E17*0.9)/(假设!$B$15*D19)</f>
        <v>76.0685091660978</v>
      </c>
      <c r="F18" s="14" t="n">
        <f aca="false">E18-MIN(E20*假设!$B$14,F17*0.9)/(假设!$B$15*E19)</f>
        <v>75.2183812047188</v>
      </c>
      <c r="G18" s="14" t="n">
        <f aca="false">F18-MIN(F20*假设!$B$14,G17*0.9)/(假设!$B$15*F19)</f>
        <v>74.1566404946968</v>
      </c>
    </row>
    <row r="19" customFormat="false" ht="15" hidden="false" customHeight="false" outlineLevel="0" collapsed="false">
      <c r="A19" s="16" t="s">
        <v>92</v>
      </c>
      <c r="B19" s="14" t="n">
        <f aca="false">假设!$B$24</f>
        <v>9.57</v>
      </c>
      <c r="C19" s="14" t="n">
        <f aca="false">C17/C18</f>
        <v>11.3897564983708</v>
      </c>
      <c r="D19" s="14" t="n">
        <f aca="false">D17/D18</f>
        <v>12.6289634131038</v>
      </c>
      <c r="E19" s="14" t="n">
        <f aca="false">E17/E18</f>
        <v>13.4923040461981</v>
      </c>
      <c r="F19" s="14" t="n">
        <f aca="false">F17/F18</f>
        <v>14.2187065367681</v>
      </c>
      <c r="G19" s="14" t="n">
        <f aca="false">G17/G18</f>
        <v>14.8488807751214</v>
      </c>
    </row>
    <row r="20" customFormat="false" ht="15" hidden="false" customHeight="false" outlineLevel="0" collapsed="false">
      <c r="A20" s="16" t="s">
        <v>93</v>
      </c>
      <c r="B20" s="12" t="n">
        <f aca="false">B17+B13+B6*假设!$B$12-B14</f>
        <v>311.82</v>
      </c>
      <c r="C20" s="12" t="n">
        <f aca="false">C17+C13+C6*假设!$B$12-C14-假设!$B$13*(C6-B6)</f>
        <v>299.380900000001</v>
      </c>
      <c r="D20" s="12" t="n">
        <f aca="false">D17+D13+D6*假设!$B$12-D14-假设!$B$13*(D6-C6)</f>
        <v>378.160985500001</v>
      </c>
      <c r="E20" s="12" t="n">
        <f aca="false">E17+E13+E6*假设!$B$12-E14-假设!$B$13*(E6-D6)</f>
        <v>477.924372212502</v>
      </c>
      <c r="F20" s="12" t="n">
        <f aca="false">F17+F13+F6*假设!$B$12-F14-假设!$B$13*(F6-E6)</f>
        <v>629.024148914315</v>
      </c>
      <c r="G20" s="12" t="n">
        <f aca="false">G17+G13+G6*假设!$B$12-G14-假设!$B$13*(G6-F6)</f>
        <v>806.798963800703</v>
      </c>
    </row>
    <row r="21" customFormat="false" ht="15" hidden="false" customHeight="false" outlineLevel="0" collapsed="false">
      <c r="A21" s="6" t="s">
        <v>94</v>
      </c>
      <c r="B21" s="11" t="n">
        <f aca="false">B14/B6</f>
        <v>0.243462271860528</v>
      </c>
      <c r="C21" s="11" t="n">
        <f aca="false">C14/C6</f>
        <v>0.274848436356707</v>
      </c>
      <c r="D21" s="11" t="n">
        <f aca="false">D14/D6</f>
        <v>0.28447022332201</v>
      </c>
      <c r="E21" s="11" t="n">
        <f aca="false">E14/E6</f>
        <v>0.28537824501068</v>
      </c>
      <c r="F21" s="11" t="n">
        <f aca="false">F14/F6</f>
        <v>0.27283280786339</v>
      </c>
      <c r="G21" s="11" t="n">
        <f aca="false">G14/G6</f>
        <v>0.253991273400245</v>
      </c>
    </row>
    <row r="22" customFormat="false" ht="15" hidden="false" customHeight="false" outlineLevel="0" collapsed="false">
      <c r="A22" s="6" t="s">
        <v>95</v>
      </c>
      <c r="B22" s="11" t="n">
        <f aca="false">B13/B6</f>
        <v>0.0646962680468537</v>
      </c>
      <c r="C22" s="11" t="n">
        <f aca="false">C13/C6</f>
        <v>0.0740563842405571</v>
      </c>
      <c r="D22" s="11" t="n">
        <f aca="false">D13/D6</f>
        <v>0.0962178696530328</v>
      </c>
      <c r="E22" s="11" t="n">
        <f aca="false">E13/E6</f>
        <v>0.119495654229018</v>
      </c>
      <c r="F22" s="11" t="n">
        <f aca="false">F13/F6</f>
        <v>0.14175125972831</v>
      </c>
      <c r="G22" s="11" t="n">
        <f aca="false">G13/G6</f>
        <v>0.16206952254512</v>
      </c>
    </row>
    <row r="24" customFormat="false" ht="23.85" hidden="false" customHeight="true" outlineLevel="0" collapsed="false">
      <c r="A24" s="17" t="s">
        <v>96</v>
      </c>
      <c r="B24" s="17"/>
      <c r="C24" s="17"/>
      <c r="D24" s="17"/>
      <c r="E24" s="17"/>
      <c r="F24" s="17"/>
      <c r="G24" s="17"/>
    </row>
    <row r="27" customFormat="false" ht="15" hidden="false" customHeight="false" outlineLevel="0" collapsed="false">
      <c r="A27" s="18" t="s">
        <v>97</v>
      </c>
      <c r="B27" s="19" t="s">
        <v>48</v>
      </c>
    </row>
    <row r="28" customFormat="false" ht="15" hidden="false" customHeight="false" outlineLevel="0" collapsed="false">
      <c r="A28" s="6" t="n">
        <v>2019</v>
      </c>
      <c r="B28" s="20" t="n">
        <v>80</v>
      </c>
    </row>
    <row r="29" customFormat="false" ht="15" hidden="false" customHeight="false" outlineLevel="0" collapsed="false">
      <c r="A29" s="6" t="n">
        <v>2020</v>
      </c>
      <c r="B29" s="20" t="n">
        <v>95</v>
      </c>
    </row>
    <row r="30" customFormat="false" ht="15" hidden="false" customHeight="false" outlineLevel="0" collapsed="false">
      <c r="A30" s="6" t="n">
        <v>2021</v>
      </c>
      <c r="B30" s="20" t="n">
        <v>130</v>
      </c>
    </row>
    <row r="31" customFormat="false" ht="15" hidden="false" customHeight="false" outlineLevel="0" collapsed="false">
      <c r="A31" s="6" t="n">
        <v>2022</v>
      </c>
      <c r="B31" s="20" t="n">
        <v>160</v>
      </c>
    </row>
    <row r="32" customFormat="false" ht="15" hidden="false" customHeight="false" outlineLevel="0" collapsed="false">
      <c r="A32" s="6" t="n">
        <v>2023</v>
      </c>
      <c r="B32" s="20" t="n">
        <v>150</v>
      </c>
    </row>
    <row r="33" customFormat="false" ht="15" hidden="false" customHeight="false" outlineLevel="0" collapsed="false">
      <c r="A33" s="6" t="n">
        <v>2024</v>
      </c>
      <c r="B33" s="20" t="n">
        <v>230</v>
      </c>
    </row>
    <row r="34" customFormat="false" ht="15" hidden="false" customHeight="false" outlineLevel="0" collapsed="false">
      <c r="A34" s="6" t="n">
        <v>2025</v>
      </c>
      <c r="B34" s="20" t="n">
        <v>380</v>
      </c>
    </row>
    <row r="35" customFormat="false" ht="15" hidden="false" customHeight="false" outlineLevel="0" collapsed="false">
      <c r="A35" s="6" t="n">
        <v>2026</v>
      </c>
      <c r="B35" s="20" t="n">
        <v>715</v>
      </c>
    </row>
    <row r="36" customFormat="false" ht="15" hidden="false" customHeight="false" outlineLevel="0" collapsed="false">
      <c r="A36" s="6" t="n">
        <v>2027</v>
      </c>
      <c r="B36" s="20" t="n">
        <f aca="false">C14</f>
        <v>900</v>
      </c>
    </row>
    <row r="37" customFormat="false" ht="15" hidden="false" customHeight="false" outlineLevel="0" collapsed="false">
      <c r="A37" s="6" t="n">
        <v>2028</v>
      </c>
      <c r="B37" s="20" t="n">
        <f aca="false">D14</f>
        <v>1020</v>
      </c>
    </row>
    <row r="38" customFormat="false" ht="15" hidden="false" customHeight="false" outlineLevel="0" collapsed="false">
      <c r="A38" s="6" t="n">
        <v>2029</v>
      </c>
      <c r="B38" s="20" t="n">
        <f aca="false">E14</f>
        <v>1100</v>
      </c>
    </row>
    <row r="39" customFormat="false" ht="15" hidden="false" customHeight="false" outlineLevel="0" collapsed="false">
      <c r="A39" s="6" t="n">
        <v>2030</v>
      </c>
      <c r="B39" s="20" t="n">
        <f aca="false">F14</f>
        <v>1120</v>
      </c>
    </row>
    <row r="40" customFormat="false" ht="15" hidden="false" customHeight="false" outlineLevel="0" collapsed="false">
      <c r="A40" s="6" t="n">
        <v>2031</v>
      </c>
      <c r="B40" s="20" t="n">
        <f aca="false">G14</f>
        <v>1100</v>
      </c>
    </row>
  </sheetData>
  <mergeCells count="3">
    <mergeCell ref="A1:G1"/>
    <mergeCell ref="A2:G2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5"/>
  </cols>
  <sheetData>
    <row r="1" customFormat="false" ht="30" hidden="false" customHeight="true" outlineLevel="0" collapsed="false">
      <c r="A1" s="1" t="s">
        <v>98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4" t="s">
        <v>99</v>
      </c>
      <c r="B2" s="4"/>
      <c r="C2" s="4"/>
      <c r="D2" s="4"/>
      <c r="E2" s="4"/>
      <c r="F2" s="4"/>
      <c r="G2" s="4"/>
    </row>
    <row r="4" customFormat="false" ht="30" hidden="false" customHeight="true" outlineLevel="0" collapsed="false">
      <c r="A4" s="5" t="s">
        <v>100</v>
      </c>
      <c r="B4" s="5" t="s">
        <v>72</v>
      </c>
      <c r="C4" s="5" t="s">
        <v>101</v>
      </c>
      <c r="D4" s="5" t="s">
        <v>102</v>
      </c>
      <c r="E4" s="5" t="s">
        <v>103</v>
      </c>
      <c r="F4" s="5" t="s">
        <v>104</v>
      </c>
      <c r="G4" s="5" t="s">
        <v>105</v>
      </c>
    </row>
    <row r="5" customFormat="false" ht="15" hidden="false" customHeight="false" outlineLevel="0" collapsed="false">
      <c r="A5" s="6" t="s">
        <v>79</v>
      </c>
      <c r="B5" s="12" t="n">
        <v>2936.8</v>
      </c>
      <c r="C5" s="12" t="n">
        <v>4431.9869991936</v>
      </c>
      <c r="D5" s="12" t="n">
        <v>4330.85745535279</v>
      </c>
      <c r="E5" s="12" t="n">
        <v>4231.5822840312</v>
      </c>
      <c r="F5" s="11" t="n">
        <f aca="false">D5/C5-1</f>
        <v>-0.0228181048047333</v>
      </c>
      <c r="G5" s="11" t="n">
        <f aca="false">E5/C5-1</f>
        <v>-0.0452178030303034</v>
      </c>
    </row>
    <row r="6" customFormat="false" ht="15" hidden="false" customHeight="false" outlineLevel="0" collapsed="false">
      <c r="A6" s="6" t="s">
        <v>88</v>
      </c>
      <c r="B6" s="12" t="n">
        <v>931</v>
      </c>
      <c r="C6" s="12" t="n">
        <v>1252.24082871231</v>
      </c>
      <c r="D6" s="12" t="n">
        <v>1344.23685864072</v>
      </c>
      <c r="E6" s="12" t="n">
        <v>1372.28599041667</v>
      </c>
      <c r="F6" s="11" t="n">
        <f aca="false">D6/C6-1</f>
        <v>0.0734651257322503</v>
      </c>
      <c r="G6" s="11" t="n">
        <f aca="false">E6/C6-1</f>
        <v>0.0958642770239342</v>
      </c>
    </row>
    <row r="7" customFormat="false" ht="15" hidden="false" customHeight="false" outlineLevel="0" collapsed="false">
      <c r="A7" s="6" t="s">
        <v>89</v>
      </c>
      <c r="B7" s="11" t="n">
        <v>0.317011713429583</v>
      </c>
      <c r="C7" s="11" t="n">
        <v>0.282546142157041</v>
      </c>
      <c r="D7" s="11" t="n">
        <v>0.31038584679791</v>
      </c>
      <c r="E7" s="11" t="n">
        <v>0.324296184808999</v>
      </c>
      <c r="F7" s="11" t="n">
        <f aca="false">D7-C7</f>
        <v>0.0278397046408699</v>
      </c>
      <c r="G7" s="11" t="n">
        <f aca="false">E7-C7</f>
        <v>0.0417500426519588</v>
      </c>
    </row>
    <row r="8" customFormat="false" ht="15" hidden="false" customHeight="false" outlineLevel="0" collapsed="false">
      <c r="A8" s="6" t="s">
        <v>90</v>
      </c>
      <c r="B8" s="12" t="n">
        <v>763.42</v>
      </c>
      <c r="C8" s="12" t="n">
        <v>1026.8374795441</v>
      </c>
      <c r="D8" s="12" t="n">
        <v>1102.27422408539</v>
      </c>
      <c r="E8" s="12" t="n">
        <v>1125.27451214167</v>
      </c>
      <c r="F8" s="11" t="n">
        <f aca="false">D8/C8-1</f>
        <v>0.0734651257322505</v>
      </c>
      <c r="G8" s="11" t="n">
        <f aca="false">E8/C8-1</f>
        <v>0.0958642770239346</v>
      </c>
    </row>
    <row r="9" customFormat="false" ht="15" hidden="false" customHeight="false" outlineLevel="0" collapsed="false">
      <c r="A9" s="16" t="s">
        <v>92</v>
      </c>
      <c r="B9" s="14" t="n">
        <v>9.56546798646786</v>
      </c>
      <c r="C9" s="14" t="n">
        <v>13.5404205279339</v>
      </c>
      <c r="D9" s="14" t="n">
        <v>14.5774070651508</v>
      </c>
      <c r="E9" s="14" t="n">
        <v>14.9029972383627</v>
      </c>
      <c r="F9" s="11" t="n">
        <f aca="false">D9/C9-1</f>
        <v>0.0765845148662592</v>
      </c>
      <c r="G9" s="11" t="n">
        <f aca="false">E9/C9-1</f>
        <v>0.100630309643474</v>
      </c>
    </row>
    <row r="10" customFormat="false" ht="15" hidden="false" customHeight="false" outlineLevel="0" collapsed="false">
      <c r="A10" s="16" t="s">
        <v>93</v>
      </c>
      <c r="B10" s="12" t="n">
        <v>311.84</v>
      </c>
      <c r="C10" s="12" t="n">
        <v>734.494810751263</v>
      </c>
      <c r="D10" s="12" t="n">
        <v>807.905074496803</v>
      </c>
      <c r="E10" s="12" t="n">
        <v>828.908990876705</v>
      </c>
      <c r="F10" s="11" t="n">
        <f aca="false">D10/C10-1</f>
        <v>0.0999466063898447</v>
      </c>
      <c r="G10" s="11" t="n">
        <f aca="false">E10/C10-1</f>
        <v>0.128543018607405</v>
      </c>
    </row>
    <row r="11" customFormat="false" ht="15" hidden="false" customHeight="false" outlineLevel="0" collapsed="false">
      <c r="A11" s="6" t="s">
        <v>80</v>
      </c>
      <c r="B11" s="13" t="n">
        <v>1189</v>
      </c>
      <c r="C11" s="13" t="n">
        <v>1189</v>
      </c>
      <c r="D11" s="13" t="n">
        <v>702.09261</v>
      </c>
      <c r="E11" s="13" t="n">
        <v>416.15</v>
      </c>
      <c r="F11" s="11" t="n">
        <f aca="false">D11/C11-1</f>
        <v>-0.40951</v>
      </c>
      <c r="G11" s="11" t="n">
        <f aca="false">E11/C11-1</f>
        <v>-0.65</v>
      </c>
    </row>
    <row r="12" customFormat="false" ht="15" hidden="false" customHeight="false" outlineLevel="0" collapsed="false">
      <c r="A12" s="6" t="s">
        <v>106</v>
      </c>
      <c r="B12" s="12" t="n">
        <v>715</v>
      </c>
      <c r="C12" s="12" t="n">
        <v>1100</v>
      </c>
      <c r="D12" s="12" t="n">
        <v>1100</v>
      </c>
      <c r="E12" s="12" t="n">
        <v>1100</v>
      </c>
      <c r="F12" s="11" t="n">
        <f aca="false">D12/C12-1</f>
        <v>0</v>
      </c>
      <c r="G12" s="11" t="n">
        <f aca="false">E12/C12-1</f>
        <v>0</v>
      </c>
    </row>
    <row r="13" customFormat="false" ht="15" hidden="false" customHeight="false" outlineLevel="0" collapsed="false">
      <c r="A13" s="6" t="s">
        <v>86</v>
      </c>
      <c r="B13" s="12" t="n">
        <v>190</v>
      </c>
      <c r="C13" s="12" t="n">
        <v>701.875</v>
      </c>
      <c r="D13" s="12" t="n">
        <v>701.875</v>
      </c>
      <c r="E13" s="12" t="n">
        <v>701.875</v>
      </c>
      <c r="F13" s="11" t="n">
        <f aca="false">D13/C13-1</f>
        <v>0</v>
      </c>
      <c r="G13" s="11" t="n">
        <f aca="false">E13/C13-1</f>
        <v>0</v>
      </c>
    </row>
    <row r="14" customFormat="false" ht="15" hidden="false" customHeight="false" outlineLevel="0" collapsed="false">
      <c r="A14" s="6" t="s">
        <v>95</v>
      </c>
      <c r="B14" s="11" t="n">
        <v>0.0646962680468537</v>
      </c>
      <c r="C14" s="11" t="n">
        <v>0.158365762383262</v>
      </c>
      <c r="D14" s="11" t="n">
        <v>0.162063750016179</v>
      </c>
      <c r="E14" s="11" t="n">
        <v>0.16586585179938</v>
      </c>
      <c r="F14" s="11" t="n">
        <f aca="false">D14-C14</f>
        <v>0.00369798763291732</v>
      </c>
      <c r="G14" s="11" t="n">
        <f aca="false">E14-C14</f>
        <v>0.00750008941611791</v>
      </c>
    </row>
    <row r="16" customFormat="false" ht="15" hidden="false" customHeight="true" outlineLevel="0" collapsed="false">
      <c r="A16" s="17" t="s">
        <v>107</v>
      </c>
      <c r="B16" s="17"/>
      <c r="C16" s="17"/>
      <c r="D16" s="17"/>
      <c r="E16" s="17"/>
      <c r="F16" s="17"/>
      <c r="G16" s="17"/>
    </row>
    <row r="18" customFormat="false" ht="15" hidden="false" customHeight="false" outlineLevel="0" collapsed="false">
      <c r="A18" s="21" t="s">
        <v>108</v>
      </c>
    </row>
    <row r="19" customFormat="false" ht="30" hidden="false" customHeight="true" outlineLevel="0" collapsed="false">
      <c r="A19" s="5" t="s">
        <v>92</v>
      </c>
      <c r="B19" s="5" t="s">
        <v>109</v>
      </c>
      <c r="C19" s="5" t="s">
        <v>110</v>
      </c>
      <c r="D19" s="5" t="s">
        <v>111</v>
      </c>
      <c r="E19" s="5" t="s">
        <v>112</v>
      </c>
      <c r="F19" s="5" t="s">
        <v>113</v>
      </c>
      <c r="G19" s="5" t="s">
        <v>114</v>
      </c>
    </row>
    <row r="20" customFormat="false" ht="15" hidden="false" customHeight="false" outlineLevel="0" collapsed="false">
      <c r="A20" s="22" t="s">
        <v>115</v>
      </c>
      <c r="B20" s="14" t="n">
        <v>9.56546798646786</v>
      </c>
      <c r="C20" s="14" t="n">
        <v>10.9200638943171</v>
      </c>
      <c r="D20" s="14" t="n">
        <v>11.9242874041752</v>
      </c>
      <c r="E20" s="14" t="n">
        <v>12.571372326058</v>
      </c>
      <c r="F20" s="14" t="n">
        <v>13.1011021196827</v>
      </c>
      <c r="G20" s="14" t="n">
        <v>13.5404205279339</v>
      </c>
    </row>
    <row r="21" customFormat="false" ht="15" hidden="false" customHeight="false" outlineLevel="0" collapsed="false">
      <c r="A21" s="22" t="s">
        <v>116</v>
      </c>
      <c r="B21" s="14" t="n">
        <v>9.56546798646786</v>
      </c>
      <c r="C21" s="14" t="n">
        <v>11.1466426083362</v>
      </c>
      <c r="D21" s="14" t="n">
        <v>12.3650716603965</v>
      </c>
      <c r="E21" s="14" t="n">
        <v>13.2170650155969</v>
      </c>
      <c r="F21" s="14" t="n">
        <v>13.9444496558452</v>
      </c>
      <c r="G21" s="14" t="n">
        <v>14.5774070651508</v>
      </c>
    </row>
    <row r="22" customFormat="false" ht="15" hidden="false" customHeight="false" outlineLevel="0" collapsed="false">
      <c r="A22" s="22" t="s">
        <v>117</v>
      </c>
      <c r="B22" s="14" t="n">
        <v>9.56546798646786</v>
      </c>
      <c r="C22" s="14" t="n">
        <v>11.3734950040371</v>
      </c>
      <c r="D22" s="14" t="n">
        <v>12.7382580809261</v>
      </c>
      <c r="E22" s="14" t="n">
        <v>13.6663409511917</v>
      </c>
      <c r="F22" s="14" t="n">
        <v>14.407249215362</v>
      </c>
      <c r="G22" s="14" t="n">
        <v>14.9029972383627</v>
      </c>
    </row>
    <row r="24" customFormat="false" ht="30" hidden="false" customHeight="true" outlineLevel="0" collapsed="false">
      <c r="A24" s="5" t="s">
        <v>118</v>
      </c>
      <c r="B24" s="5" t="s">
        <v>109</v>
      </c>
      <c r="C24" s="5" t="s">
        <v>110</v>
      </c>
      <c r="D24" s="5" t="s">
        <v>111</v>
      </c>
      <c r="E24" s="5" t="s">
        <v>112</v>
      </c>
      <c r="F24" s="5" t="s">
        <v>113</v>
      </c>
      <c r="G24" s="5" t="s">
        <v>114</v>
      </c>
    </row>
    <row r="25" customFormat="false" ht="15" hidden="false" customHeight="false" outlineLevel="0" collapsed="false">
      <c r="A25" s="22" t="s">
        <v>115</v>
      </c>
      <c r="B25" s="13" t="n">
        <v>312</v>
      </c>
      <c r="C25" s="13" t="n">
        <v>283</v>
      </c>
      <c r="D25" s="13" t="n">
        <v>346</v>
      </c>
      <c r="E25" s="13" t="n">
        <v>431</v>
      </c>
      <c r="F25" s="13" t="n">
        <v>569</v>
      </c>
      <c r="G25" s="13" t="n">
        <v>734</v>
      </c>
    </row>
    <row r="26" customFormat="false" ht="15" hidden="false" customHeight="false" outlineLevel="0" collapsed="false">
      <c r="A26" s="22" t="s">
        <v>116</v>
      </c>
      <c r="B26" s="13" t="n">
        <v>312</v>
      </c>
      <c r="C26" s="13" t="n">
        <v>300</v>
      </c>
      <c r="D26" s="13" t="n">
        <v>379</v>
      </c>
      <c r="E26" s="13" t="n">
        <v>479</v>
      </c>
      <c r="F26" s="13" t="n">
        <v>630</v>
      </c>
      <c r="G26" s="13" t="n">
        <v>808</v>
      </c>
    </row>
    <row r="27" customFormat="false" ht="15" hidden="false" customHeight="false" outlineLevel="0" collapsed="false">
      <c r="A27" s="22" t="s">
        <v>117</v>
      </c>
      <c r="B27" s="13" t="n">
        <v>312</v>
      </c>
      <c r="C27" s="13" t="n">
        <v>318</v>
      </c>
      <c r="D27" s="13" t="n">
        <v>407</v>
      </c>
      <c r="E27" s="13" t="n">
        <v>512</v>
      </c>
      <c r="F27" s="13" t="n">
        <v>662</v>
      </c>
      <c r="G27" s="13" t="n">
        <v>829</v>
      </c>
    </row>
  </sheetData>
  <mergeCells count="3">
    <mergeCell ref="A1:G1"/>
    <mergeCell ref="A2:G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3"/>
  </cols>
  <sheetData>
    <row r="1" customFormat="false" ht="30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4" t="s">
        <v>120</v>
      </c>
      <c r="B2" s="4"/>
      <c r="C2" s="4"/>
      <c r="D2" s="4"/>
      <c r="E2" s="4"/>
      <c r="F2" s="4"/>
      <c r="G2" s="4"/>
    </row>
    <row r="4" customFormat="false" ht="30" hidden="false" customHeight="true" outlineLevel="0" collapsed="false">
      <c r="A4" s="5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5" t="s">
        <v>126</v>
      </c>
    </row>
    <row r="5" customFormat="false" ht="15" hidden="false" customHeight="false" outlineLevel="0" collapsed="false">
      <c r="A5" s="23" t="n">
        <v>0</v>
      </c>
      <c r="B5" s="11" t="n">
        <v>-0.0337</v>
      </c>
      <c r="C5" s="11" t="n">
        <v>0.022</v>
      </c>
      <c r="D5" s="24" t="n">
        <v>0.072</v>
      </c>
      <c r="E5" s="11" t="n">
        <v>0.1179</v>
      </c>
      <c r="F5" s="11" t="n">
        <v>0.1608</v>
      </c>
    </row>
    <row r="6" customFormat="false" ht="15" hidden="false" customHeight="false" outlineLevel="0" collapsed="false">
      <c r="A6" s="23" t="n">
        <v>0.05</v>
      </c>
      <c r="B6" s="11" t="n">
        <v>-0.0185</v>
      </c>
      <c r="C6" s="11" t="n">
        <v>0.0339</v>
      </c>
      <c r="D6" s="24" t="n">
        <v>0.0814</v>
      </c>
      <c r="E6" s="11" t="n">
        <v>0.1256</v>
      </c>
      <c r="F6" s="11" t="n">
        <v>0.1671</v>
      </c>
    </row>
    <row r="7" customFormat="false" ht="15" hidden="false" customHeight="false" outlineLevel="0" collapsed="false">
      <c r="A7" s="23" t="n">
        <v>0.1</v>
      </c>
      <c r="B7" s="11" t="n">
        <v>-0.0079</v>
      </c>
      <c r="C7" s="11" t="n">
        <v>0.0421</v>
      </c>
      <c r="D7" s="24" t="n">
        <v>0.0879</v>
      </c>
      <c r="E7" s="11" t="n">
        <v>0.1307</v>
      </c>
      <c r="F7" s="11" t="n">
        <v>0.1712</v>
      </c>
    </row>
    <row r="8" customFormat="false" ht="15" hidden="false" customHeight="false" outlineLevel="0" collapsed="false">
      <c r="A8" s="23" t="n">
        <v>0.15</v>
      </c>
      <c r="B8" s="11" t="n">
        <v>-0.001</v>
      </c>
      <c r="C8" s="11" t="n">
        <v>0.0474</v>
      </c>
      <c r="D8" s="24" t="n">
        <v>0.092</v>
      </c>
      <c r="E8" s="11" t="n">
        <v>0.1338</v>
      </c>
      <c r="F8" s="11" t="n">
        <v>0.1735</v>
      </c>
    </row>
    <row r="9" customFormat="false" ht="15" hidden="false" customHeight="false" outlineLevel="0" collapsed="false">
      <c r="A9" s="23" t="n">
        <v>0.2</v>
      </c>
      <c r="B9" s="11" t="n">
        <v>0.0013</v>
      </c>
      <c r="C9" s="11" t="n">
        <v>0.0488</v>
      </c>
      <c r="D9" s="24" t="n">
        <v>0.0927</v>
      </c>
      <c r="E9" s="11" t="n">
        <v>0.1341</v>
      </c>
      <c r="F9" s="11" t="n">
        <v>0.1733</v>
      </c>
    </row>
    <row r="10" customFormat="false" ht="15" hidden="false" customHeight="false" outlineLevel="0" collapsed="false">
      <c r="A10" s="23" t="n">
        <v>0.25</v>
      </c>
      <c r="B10" s="11" t="n">
        <v>-0.0048</v>
      </c>
      <c r="C10" s="11" t="n">
        <v>0.0432</v>
      </c>
      <c r="D10" s="24" t="n">
        <v>0.0876</v>
      </c>
      <c r="E10" s="11" t="n">
        <v>0.1292</v>
      </c>
      <c r="F10" s="11" t="n">
        <v>0.1687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8" min="3" style="0" width="12"/>
  </cols>
  <sheetData>
    <row r="1" customFormat="false" ht="30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4" t="s">
        <v>128</v>
      </c>
      <c r="B2" s="4"/>
      <c r="C2" s="4"/>
      <c r="D2" s="4"/>
      <c r="E2" s="4"/>
      <c r="F2" s="4"/>
      <c r="G2" s="4"/>
      <c r="H2" s="4"/>
      <c r="I2" s="4"/>
    </row>
    <row r="4" customFormat="false" ht="30" hidden="false" customHeight="true" outlineLevel="0" collapsed="false">
      <c r="A4" s="5" t="s">
        <v>129</v>
      </c>
      <c r="B4" s="5" t="s">
        <v>130</v>
      </c>
      <c r="C4" s="5" t="s">
        <v>131</v>
      </c>
      <c r="D4" s="5" t="s">
        <v>132</v>
      </c>
      <c r="E4" s="5" t="s">
        <v>133</v>
      </c>
      <c r="F4" s="5" t="s">
        <v>134</v>
      </c>
      <c r="G4" s="5" t="s">
        <v>135</v>
      </c>
      <c r="H4" s="5" t="s">
        <v>136</v>
      </c>
    </row>
    <row r="5" customFormat="false" ht="15" hidden="false" customHeight="false" outlineLevel="0" collapsed="false">
      <c r="A5" s="16" t="s">
        <v>137</v>
      </c>
      <c r="B5" s="6" t="s">
        <v>138</v>
      </c>
      <c r="C5" s="11" t="n">
        <v>0.1393</v>
      </c>
      <c r="D5" s="25" t="n">
        <v>26</v>
      </c>
      <c r="E5" s="13" t="n">
        <v>59196</v>
      </c>
      <c r="F5" s="11" t="n">
        <v>0.1543</v>
      </c>
      <c r="G5" s="26" t="n">
        <v>0.25</v>
      </c>
      <c r="H5" s="11" t="n">
        <f aca="false">F5*G5</f>
        <v>0.038575</v>
      </c>
    </row>
    <row r="6" customFormat="false" ht="15" hidden="false" customHeight="false" outlineLevel="0" collapsed="false">
      <c r="A6" s="16" t="s">
        <v>139</v>
      </c>
      <c r="B6" s="6" t="s">
        <v>140</v>
      </c>
      <c r="C6" s="11" t="n">
        <v>0.0816</v>
      </c>
      <c r="D6" s="25" t="n">
        <v>23</v>
      </c>
      <c r="E6" s="13" t="n">
        <v>40388</v>
      </c>
      <c r="F6" s="11" t="n">
        <v>0.0698</v>
      </c>
      <c r="G6" s="26" t="n">
        <v>0.5</v>
      </c>
      <c r="H6" s="11" t="n">
        <f aca="false">F6*G6</f>
        <v>0.0349</v>
      </c>
    </row>
    <row r="7" customFormat="false" ht="15" hidden="false" customHeight="false" outlineLevel="0" collapsed="false">
      <c r="A7" s="16" t="s">
        <v>141</v>
      </c>
      <c r="B7" s="6" t="s">
        <v>142</v>
      </c>
      <c r="C7" s="11" t="n">
        <v>-0.0207</v>
      </c>
      <c r="D7" s="25" t="n">
        <v>18</v>
      </c>
      <c r="E7" s="13" t="n">
        <v>19224</v>
      </c>
      <c r="F7" s="11" t="n">
        <v>-0.077</v>
      </c>
      <c r="G7" s="26" t="n">
        <v>0.2</v>
      </c>
      <c r="H7" s="11" t="n">
        <f aca="false">F7*G7</f>
        <v>-0.0154</v>
      </c>
    </row>
    <row r="8" customFormat="false" ht="15" hidden="false" customHeight="false" outlineLevel="0" collapsed="false">
      <c r="A8" s="16" t="s">
        <v>143</v>
      </c>
      <c r="B8" s="6" t="s">
        <v>144</v>
      </c>
      <c r="C8" s="11" t="n">
        <v>-0.0235</v>
      </c>
      <c r="D8" s="25" t="n">
        <v>14</v>
      </c>
      <c r="E8" s="13" t="n">
        <v>14742</v>
      </c>
      <c r="F8" s="11" t="n">
        <v>-0.1244</v>
      </c>
      <c r="G8" s="26" t="n">
        <v>0.05</v>
      </c>
      <c r="H8" s="11" t="n">
        <f aca="false">F8*G8</f>
        <v>-0.00622</v>
      </c>
    </row>
    <row r="9" customFormat="false" ht="15" hidden="false" customHeight="false" outlineLevel="0" collapsed="false">
      <c r="A9" s="27" t="s">
        <v>145</v>
      </c>
      <c r="B9" s="28"/>
      <c r="C9" s="28"/>
      <c r="D9" s="28"/>
      <c r="E9" s="29" t="n">
        <f aca="false">SUMPRODUCT(E5:E8,G5:G8)</f>
        <v>39574.9</v>
      </c>
      <c r="F9" s="30" t="n">
        <f aca="false">SUMPRODUCT(F5:F8,G5:G8)</f>
        <v>0.051855</v>
      </c>
      <c r="G9" s="31" t="n">
        <f aca="false">SUM(G5:G8)</f>
        <v>1</v>
      </c>
      <c r="H9" s="28"/>
    </row>
    <row r="12" customFormat="false" ht="15" hidden="false" customHeight="false" outlineLevel="0" collapsed="false">
      <c r="A12" s="21" t="s">
        <v>146</v>
      </c>
    </row>
    <row r="13" customFormat="false" ht="30" hidden="false" customHeight="true" outlineLevel="0" collapsed="false">
      <c r="A13" s="5" t="s">
        <v>129</v>
      </c>
      <c r="B13" s="5" t="s">
        <v>109</v>
      </c>
      <c r="C13" s="5" t="s">
        <v>110</v>
      </c>
      <c r="D13" s="5" t="s">
        <v>111</v>
      </c>
      <c r="E13" s="5" t="s">
        <v>112</v>
      </c>
      <c r="F13" s="5" t="s">
        <v>113</v>
      </c>
      <c r="G13" s="5" t="s">
        <v>114</v>
      </c>
    </row>
    <row r="14" customFormat="false" ht="15" hidden="false" customHeight="false" outlineLevel="0" collapsed="false">
      <c r="A14" s="22" t="s">
        <v>137</v>
      </c>
      <c r="B14" s="13" t="n">
        <v>29651</v>
      </c>
      <c r="C14" s="13" t="n">
        <v>34458</v>
      </c>
      <c r="D14" s="13" t="n">
        <v>40028</v>
      </c>
      <c r="E14" s="13" t="n">
        <v>45605</v>
      </c>
      <c r="F14" s="13" t="n">
        <v>51958</v>
      </c>
      <c r="G14" s="13" t="n">
        <v>59196</v>
      </c>
    </row>
    <row r="15" customFormat="false" ht="15" hidden="false" customHeight="false" outlineLevel="0" collapsed="false">
      <c r="A15" s="22" t="s">
        <v>139</v>
      </c>
      <c r="B15" s="13" t="n">
        <v>29651</v>
      </c>
      <c r="C15" s="13" t="n">
        <v>30789</v>
      </c>
      <c r="D15" s="13" t="n">
        <v>31916</v>
      </c>
      <c r="E15" s="13" t="n">
        <v>34521</v>
      </c>
      <c r="F15" s="13" t="n">
        <v>37340</v>
      </c>
      <c r="G15" s="13" t="n">
        <v>40388</v>
      </c>
    </row>
    <row r="16" customFormat="false" ht="15" hidden="false" customHeight="false" outlineLevel="0" collapsed="false">
      <c r="A16" s="22" t="s">
        <v>141</v>
      </c>
      <c r="B16" s="13" t="n">
        <v>29651</v>
      </c>
      <c r="C16" s="13" t="n">
        <v>24971</v>
      </c>
      <c r="D16" s="13" t="n">
        <v>20472</v>
      </c>
      <c r="E16" s="13" t="n">
        <v>20047</v>
      </c>
      <c r="F16" s="13" t="n">
        <v>19632</v>
      </c>
      <c r="G16" s="13" t="n">
        <v>19224</v>
      </c>
    </row>
    <row r="17" customFormat="false" ht="15" hidden="false" customHeight="false" outlineLevel="0" collapsed="false">
      <c r="A17" s="22" t="s">
        <v>143</v>
      </c>
      <c r="B17" s="13" t="n">
        <v>29651</v>
      </c>
      <c r="C17" s="13" t="n">
        <v>22584</v>
      </c>
      <c r="D17" s="13" t="n">
        <v>15833</v>
      </c>
      <c r="E17" s="13" t="n">
        <v>15460</v>
      </c>
      <c r="F17" s="13" t="n">
        <v>15097</v>
      </c>
      <c r="G17" s="13" t="n">
        <v>14742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4" t="s">
        <v>148</v>
      </c>
      <c r="B2" s="4"/>
      <c r="C2" s="4"/>
      <c r="D2" s="4"/>
      <c r="E2" s="4"/>
      <c r="F2" s="4"/>
      <c r="G2" s="4"/>
      <c r="H2" s="4"/>
    </row>
    <row r="4" customFormat="false" ht="30" hidden="false" customHeight="true" outlineLevel="0" collapsed="false">
      <c r="A4" s="5" t="s">
        <v>149</v>
      </c>
      <c r="B4" s="5" t="s">
        <v>150</v>
      </c>
      <c r="C4" s="5" t="s">
        <v>151</v>
      </c>
      <c r="D4" s="5" t="s">
        <v>152</v>
      </c>
      <c r="E4" s="5" t="s">
        <v>153</v>
      </c>
    </row>
    <row r="5" customFormat="false" ht="48" hidden="false" customHeight="true" outlineLevel="0" collapsed="false">
      <c r="A5" s="32" t="s">
        <v>154</v>
      </c>
      <c r="B5" s="12" t="n">
        <v>17</v>
      </c>
      <c r="C5" s="33" t="n">
        <v>0.0245</v>
      </c>
      <c r="D5" s="34" t="s">
        <v>155</v>
      </c>
      <c r="E5" s="34" t="s">
        <v>156</v>
      </c>
    </row>
    <row r="6" customFormat="false" ht="48" hidden="false" customHeight="true" outlineLevel="0" collapsed="false">
      <c r="A6" s="32" t="s">
        <v>157</v>
      </c>
      <c r="B6" s="12" t="n">
        <v>38.6</v>
      </c>
      <c r="C6" s="33" t="n">
        <v>-0.0593</v>
      </c>
      <c r="D6" s="34" t="s">
        <v>158</v>
      </c>
      <c r="E6" s="34" t="s">
        <v>159</v>
      </c>
    </row>
    <row r="7" customFormat="false" ht="48" hidden="false" customHeight="true" outlineLevel="0" collapsed="false">
      <c r="A7" s="32" t="s">
        <v>160</v>
      </c>
      <c r="B7" s="12" t="n">
        <v>32</v>
      </c>
      <c r="C7" s="33" t="n">
        <v>0.2773</v>
      </c>
      <c r="D7" s="34" t="s">
        <v>161</v>
      </c>
      <c r="E7" s="34" t="s">
        <v>162</v>
      </c>
    </row>
    <row r="8" customFormat="false" ht="48" hidden="false" customHeight="true" outlineLevel="0" collapsed="false">
      <c r="A8" s="32" t="s">
        <v>163</v>
      </c>
      <c r="B8" s="12" t="n">
        <v>5.8</v>
      </c>
      <c r="C8" s="33" t="n">
        <v>-0.0376</v>
      </c>
      <c r="D8" s="34" t="s">
        <v>164</v>
      </c>
      <c r="E8" s="34" t="s">
        <v>165</v>
      </c>
    </row>
    <row r="9" customFormat="false" ht="48" hidden="false" customHeight="true" outlineLevel="0" collapsed="false">
      <c r="A9" s="32" t="s">
        <v>166</v>
      </c>
      <c r="B9" s="12" t="n">
        <v>61</v>
      </c>
      <c r="C9" s="33" t="n">
        <v>-0.04</v>
      </c>
      <c r="D9" s="34" t="s">
        <v>167</v>
      </c>
      <c r="E9" s="34" t="s">
        <v>168</v>
      </c>
    </row>
    <row r="11" customFormat="false" ht="15" hidden="false" customHeight="false" outlineLevel="0" collapsed="false">
      <c r="A11" s="21" t="s">
        <v>169</v>
      </c>
    </row>
    <row r="12" customFormat="false" ht="30" hidden="false" customHeight="true" outlineLevel="0" collapsed="false">
      <c r="A12" s="5" t="s">
        <v>170</v>
      </c>
      <c r="B12" s="5" t="s">
        <v>171</v>
      </c>
      <c r="C12" s="5" t="s">
        <v>172</v>
      </c>
      <c r="D12" s="5" t="s">
        <v>173</v>
      </c>
      <c r="E12" s="5" t="s">
        <v>174</v>
      </c>
      <c r="F12" s="5" t="s">
        <v>175</v>
      </c>
    </row>
    <row r="13" customFormat="false" ht="15" hidden="false" customHeight="false" outlineLevel="0" collapsed="false">
      <c r="A13" s="32" t="s">
        <v>176</v>
      </c>
      <c r="B13" s="8" t="s">
        <v>177</v>
      </c>
      <c r="C13" s="8" t="n">
        <v>4000</v>
      </c>
      <c r="D13" s="8" t="s">
        <v>178</v>
      </c>
      <c r="E13" s="8" t="s">
        <v>179</v>
      </c>
      <c r="F13" s="34" t="s">
        <v>180</v>
      </c>
    </row>
    <row r="14" customFormat="false" ht="15" hidden="false" customHeight="false" outlineLevel="0" collapsed="false">
      <c r="A14" s="32" t="s">
        <v>181</v>
      </c>
      <c r="B14" s="8" t="s">
        <v>182</v>
      </c>
      <c r="C14" s="8" t="n">
        <v>4000</v>
      </c>
      <c r="D14" s="8" t="s">
        <v>183</v>
      </c>
      <c r="E14" s="8" t="s">
        <v>184</v>
      </c>
      <c r="F14" s="34" t="s">
        <v>185</v>
      </c>
    </row>
    <row r="15" customFormat="false" ht="15" hidden="false" customHeight="false" outlineLevel="0" collapsed="false">
      <c r="A15" s="32" t="s">
        <v>186</v>
      </c>
      <c r="B15" s="8" t="s">
        <v>187</v>
      </c>
      <c r="C15" s="8" t="n">
        <v>1000</v>
      </c>
      <c r="D15" s="8" t="s">
        <v>188</v>
      </c>
      <c r="E15" s="8" t="s">
        <v>189</v>
      </c>
      <c r="F15" s="34" t="s">
        <v>190</v>
      </c>
    </row>
    <row r="16" customFormat="false" ht="15" hidden="false" customHeight="false" outlineLevel="0" collapsed="false">
      <c r="A16" s="32" t="s">
        <v>191</v>
      </c>
      <c r="B16" s="8" t="s">
        <v>192</v>
      </c>
      <c r="C16" s="8" t="n">
        <v>1600</v>
      </c>
      <c r="D16" s="8" t="s">
        <v>193</v>
      </c>
      <c r="E16" s="8" t="s">
        <v>194</v>
      </c>
      <c r="F16" s="34" t="s">
        <v>195</v>
      </c>
    </row>
    <row r="17" customFormat="false" ht="15" hidden="false" customHeight="false" outlineLevel="0" collapsed="false">
      <c r="A17" s="32" t="s">
        <v>196</v>
      </c>
      <c r="B17" s="8" t="s">
        <v>197</v>
      </c>
      <c r="C17" s="8" t="n">
        <v>4760</v>
      </c>
      <c r="D17" s="8" t="s">
        <v>198</v>
      </c>
      <c r="E17" s="8" t="s">
        <v>199</v>
      </c>
      <c r="F17" s="34" t="s">
        <v>200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2026-10-29T02:54:28Z</dcterms:created>
  <dc:creator>openpyxl</dc:creator>
  <dc:description/>
  <dc:language>en-US</dc:language>
  <cp:lastModifiedBy/>
  <dcterms:modified xsi:type="dcterms:W3CDTF">2026-10-29T10:54:29Z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